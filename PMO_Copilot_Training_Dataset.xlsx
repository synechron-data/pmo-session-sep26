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ource Allocation" sheetId="1" state="visible" r:id="rId3"/>
    <sheet name="Allocation Trend Summary" sheetId="2" state="visible" r:id="rId4"/>
    <sheet name="Project Status" sheetId="3" state="visible" r:id="rId5"/>
    <sheet name="RAID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<sst xmlns="http://schemas.openxmlformats.org/spreadsheetml/2006/main" count="910" uniqueCount="175">
  <si>
    <t xml:space="preserve">Employee Name</t>
  </si>
  <si>
    <t xml:space="preserve">Role</t>
  </si>
  <si>
    <t xml:space="preserve">Project Name</t>
  </si>
  <si>
    <t xml:space="preserve">Week Start Date</t>
  </si>
  <si>
    <t xml:space="preserve">Allocation %</t>
  </si>
  <si>
    <t xml:space="preserve">Billable (Y/N)</t>
  </si>
  <si>
    <t xml:space="preserve">Aditi Rao</t>
  </si>
  <si>
    <t xml:space="preserve">Business Analyst</t>
  </si>
  <si>
    <t xml:space="preserve">Loan Origination Revamp</t>
  </si>
  <si>
    <t xml:space="preserve">Y</t>
  </si>
  <si>
    <t xml:space="preserve">Collections Dashboard</t>
  </si>
  <si>
    <t xml:space="preserve">Rohan Mehta</t>
  </si>
  <si>
    <t xml:space="preserve">PMO Analyst</t>
  </si>
  <si>
    <t xml:space="preserve">Vendor Onboarding Portal</t>
  </si>
  <si>
    <t xml:space="preserve">Compliance Reporting Upgrade</t>
  </si>
  <si>
    <t xml:space="preserve">N</t>
  </si>
  <si>
    <t xml:space="preserve">Sneha Kulkarni</t>
  </si>
  <si>
    <t xml:space="preserve">Project Coordinator</t>
  </si>
  <si>
    <t xml:space="preserve">Karan Bhatia</t>
  </si>
  <si>
    <t xml:space="preserve">Senior PM</t>
  </si>
  <si>
    <t xml:space="preserve">Digital KYC Enhancement</t>
  </si>
  <si>
    <t xml:space="preserve">Priya Nair</t>
  </si>
  <si>
    <t xml:space="preserve">PMO Lead</t>
  </si>
  <si>
    <t xml:space="preserve">Branch Analytics Rollout</t>
  </si>
  <si>
    <t xml:space="preserve">Amit Deshmukh</t>
  </si>
  <si>
    <t xml:space="preserve">Farida Sheikh</t>
  </si>
  <si>
    <t xml:space="preserve">Employee Self-Service Portal</t>
  </si>
  <si>
    <t xml:space="preserve">Vikram Joshi</t>
  </si>
  <si>
    <t xml:space="preserve">Neha Kapoor</t>
  </si>
  <si>
    <t xml:space="preserve">Suresh Iyer</t>
  </si>
  <si>
    <t xml:space="preserve">Ritu Malhotra</t>
  </si>
  <si>
    <t xml:space="preserve">Arjun Menon</t>
  </si>
  <si>
    <t xml:space="preserve">Wk1 Total % (25-Aug)</t>
  </si>
  <si>
    <t xml:space="preserve">Wk2 Total % (01-Sep)</t>
  </si>
  <si>
    <t xml:space="preserve">Wk3 Total % (08-Sep)</t>
  </si>
  <si>
    <t xml:space="preserve">Wk4 Total % (15-Sep)</t>
  </si>
  <si>
    <t xml:space="preserve">Trend (Wk4 - Wk1)</t>
  </si>
  <si>
    <t xml:space="preserve">Status (Wk4)</t>
  </si>
  <si>
    <t xml:space="preserve">Trend column shows the change in total allocation from Week 1 to Week 4. A large positive number flags someone heading toward overallocation before it becomes a problem.</t>
  </si>
  <si>
    <t xml:space="preserve">Project Manager</t>
  </si>
  <si>
    <t xml:space="preserve">Sponsor</t>
  </si>
  <si>
    <t xml:space="preserve">% Complete</t>
  </si>
  <si>
    <t xml:space="preserve">RAG Status</t>
  </si>
  <si>
    <t xml:space="preserve">Planned Budget (INR)</t>
  </si>
  <si>
    <t xml:space="preserve">Actual Spend to Date (INR)</t>
  </si>
  <si>
    <t xml:space="preserve">Planned Spend to Date (INR)</t>
  </si>
  <si>
    <t xml:space="preserve">Budget Variance %</t>
  </si>
  <si>
    <t xml:space="preserve">Open High-Impact Risks</t>
  </si>
  <si>
    <t xml:space="preserve">Risk Cost Exposure (INR)</t>
  </si>
  <si>
    <t xml:space="preserve">Key Risk / Issue</t>
  </si>
  <si>
    <t xml:space="preserve">Next Milestone</t>
  </si>
  <si>
    <t xml:space="preserve">Milestone Date</t>
  </si>
  <si>
    <t xml:space="preserve">Head - Retail Lending</t>
  </si>
  <si>
    <t xml:space="preserve">Amber</t>
  </si>
  <si>
    <t xml:space="preserve">Vendor API delivery slipped by 2 weeks</t>
  </si>
  <si>
    <t xml:space="preserve">UAT sign-off</t>
  </si>
  <si>
    <t xml:space="preserve">2026-10-05</t>
  </si>
  <si>
    <t xml:space="preserve">Head - Collections</t>
  </si>
  <si>
    <t xml:space="preserve">Green</t>
  </si>
  <si>
    <t xml:space="preserve">None flagged</t>
  </si>
  <si>
    <t xml:space="preserve">Go-live</t>
  </si>
  <si>
    <t xml:space="preserve">2026-09-25</t>
  </si>
  <si>
    <t xml:space="preserve">Head - Procurement</t>
  </si>
  <si>
    <t xml:space="preserve">Spend outpacing progress; migration approach unresolved</t>
  </si>
  <si>
    <t xml:space="preserve">Migration plan sign-off</t>
  </si>
  <si>
    <t xml:space="preserve">2026-09-22</t>
  </si>
  <si>
    <t xml:space="preserve">Red</t>
  </si>
  <si>
    <t xml:space="preserve">Chief Compliance Officer</t>
  </si>
  <si>
    <t xml:space="preserve">Regulatory format change expected in Q4</t>
  </si>
  <si>
    <t xml:space="preserve">Regulator preview session</t>
  </si>
  <si>
    <t xml:space="preserve">2026-10-12</t>
  </si>
  <si>
    <t xml:space="preserve">Head - HR Operations</t>
  </si>
  <si>
    <t xml:space="preserve">Production cutover</t>
  </si>
  <si>
    <t xml:space="preserve">2026-09-30</t>
  </si>
  <si>
    <t xml:space="preserve">Third-party ID verification API still in beta</t>
  </si>
  <si>
    <t xml:space="preserve">Vendor API certification</t>
  </si>
  <si>
    <t xml:space="preserve">2026-10-01</t>
  </si>
  <si>
    <t xml:space="preserve">Head - Network Ops</t>
  </si>
  <si>
    <t xml:space="preserve">Recovering after early adoption issues; Wk4 resourcing surge underway</t>
  </si>
  <si>
    <t xml:space="preserve">Regional rollout complete</t>
  </si>
  <si>
    <t xml:space="preserve">2026-10-08</t>
  </si>
  <si>
    <t xml:space="preserve">ID</t>
  </si>
  <si>
    <t xml:space="preserve">Type</t>
  </si>
  <si>
    <t xml:space="preserve">Category</t>
  </si>
  <si>
    <t xml:space="preserve">Description</t>
  </si>
  <si>
    <t xml:space="preserve">Owner</t>
  </si>
  <si>
    <t xml:space="preserve">Impact</t>
  </si>
  <si>
    <t xml:space="preserve">Estimated Cost Impact (INR)</t>
  </si>
  <si>
    <t xml:space="preserve">Status</t>
  </si>
  <si>
    <t xml:space="preserve">Date Raised</t>
  </si>
  <si>
    <t xml:space="preserve">Target Resolution</t>
  </si>
  <si>
    <t xml:space="preserve">RAID-001</t>
  </si>
  <si>
    <t xml:space="preserve">Risk</t>
  </si>
  <si>
    <t xml:space="preserve">Vendor/Third-Party</t>
  </si>
  <si>
    <t xml:space="preserve">Vendor may miss API delivery date again</t>
  </si>
  <si>
    <t xml:space="preserve">High</t>
  </si>
  <si>
    <t xml:space="preserve">Open</t>
  </si>
  <si>
    <t xml:space="preserve">2026-09-01</t>
  </si>
  <si>
    <t xml:space="preserve">2026-09-20</t>
  </si>
  <si>
    <t xml:space="preserve">RAID-002</t>
  </si>
  <si>
    <t xml:space="preserve">Issue</t>
  </si>
  <si>
    <t xml:space="preserve">Technical</t>
  </si>
  <si>
    <t xml:space="preserve">Test environment unavailable for 3 days</t>
  </si>
  <si>
    <t xml:space="preserve">Medium</t>
  </si>
  <si>
    <t xml:space="preserve">Mitigated</t>
  </si>
  <si>
    <t xml:space="preserve">2026-08-28</t>
  </si>
  <si>
    <t xml:space="preserve">2026-09-05</t>
  </si>
  <si>
    <t xml:space="preserve">RAID-003</t>
  </si>
  <si>
    <t xml:space="preserve">Resourcing</t>
  </si>
  <si>
    <t xml:space="preserve">Business Analyst bandwidth shrinking as allocation rises elsewhere</t>
  </si>
  <si>
    <t xml:space="preserve">2026-09-10</t>
  </si>
  <si>
    <t xml:space="preserve">RAID-004</t>
  </si>
  <si>
    <t xml:space="preserve">Assumption</t>
  </si>
  <si>
    <t xml:space="preserve">Data</t>
  </si>
  <si>
    <t xml:space="preserve">Source data feed remains unchanged through go-live</t>
  </si>
  <si>
    <t xml:space="preserve">Low</t>
  </si>
  <si>
    <t xml:space="preserve">2026-09-02</t>
  </si>
  <si>
    <t xml:space="preserve">RAID-005</t>
  </si>
  <si>
    <t xml:space="preserve">Dependency</t>
  </si>
  <si>
    <t xml:space="preserve">Depends on Data Warehouse refresh job completing nightly</t>
  </si>
  <si>
    <t xml:space="preserve">2026-09-03</t>
  </si>
  <si>
    <t xml:space="preserve">RAID-006</t>
  </si>
  <si>
    <t xml:space="preserve">Process</t>
  </si>
  <si>
    <t xml:space="preserve">Sign-off checklist missing two approver signatures</t>
  </si>
  <si>
    <t xml:space="preserve">Closed</t>
  </si>
  <si>
    <t xml:space="preserve">2026-08-20</t>
  </si>
  <si>
    <t xml:space="preserve">2026-08-27</t>
  </si>
  <si>
    <t xml:space="preserve">RAID-007</t>
  </si>
  <si>
    <t xml:space="preserve">Data migration approach not yet approved by Legal</t>
  </si>
  <si>
    <t xml:space="preserve">2026-09-04</t>
  </si>
  <si>
    <t xml:space="preserve">RAID-008</t>
  </si>
  <si>
    <t xml:space="preserve">Key vendor SME on extended leave</t>
  </si>
  <si>
    <t xml:space="preserve">2026-09-06</t>
  </si>
  <si>
    <t xml:space="preserve">RAID-009</t>
  </si>
  <si>
    <t xml:space="preserve">Duplicate vendor records found in source system</t>
  </si>
  <si>
    <t xml:space="preserve">2026-09-08</t>
  </si>
  <si>
    <t xml:space="preserve">2026-09-28</t>
  </si>
  <si>
    <t xml:space="preserve">RAID-010</t>
  </si>
  <si>
    <t xml:space="preserve">Financial</t>
  </si>
  <si>
    <t xml:space="preserve">Spend is outpacing progress, budget overrun likely if unaddressed</t>
  </si>
  <si>
    <t xml:space="preserve">2026-09-12</t>
  </si>
  <si>
    <t xml:space="preserve">2026-09-26</t>
  </si>
  <si>
    <t xml:space="preserve">RAID-011</t>
  </si>
  <si>
    <t xml:space="preserve">Regulatory/Compliance</t>
  </si>
  <si>
    <t xml:space="preserve">Regulator may change submission format before release</t>
  </si>
  <si>
    <t xml:space="preserve">RAID-012</t>
  </si>
  <si>
    <t xml:space="preserve">Current regulatory templates remain valid till Q4 review</t>
  </si>
  <si>
    <t xml:space="preserve">RAID-013</t>
  </si>
  <si>
    <t xml:space="preserve">Lead Business Analyst allocation dropping week over week</t>
  </si>
  <si>
    <t xml:space="preserve">2026-09-24</t>
  </si>
  <si>
    <t xml:space="preserve">RAID-014</t>
  </si>
  <si>
    <t xml:space="preserve">Depends on IT Security sign-off for production access</t>
  </si>
  <si>
    <t xml:space="preserve">2026-08-15</t>
  </si>
  <si>
    <t xml:space="preserve">2026-09-15</t>
  </si>
  <si>
    <t xml:space="preserve">RAID-015</t>
  </si>
  <si>
    <t xml:space="preserve">No further scope changes accepted post Wk3</t>
  </si>
  <si>
    <t xml:space="preserve">RAID-016</t>
  </si>
  <si>
    <t xml:space="preserve">2026-08-30</t>
  </si>
  <si>
    <t xml:space="preserve">RAID-017</t>
  </si>
  <si>
    <t xml:space="preserve">Integration test failures on edge-case document types</t>
  </si>
  <si>
    <t xml:space="preserve">RAID-018</t>
  </si>
  <si>
    <t xml:space="preserve">Depends on updated KYC policy approval from Compliance</t>
  </si>
  <si>
    <t xml:space="preserve">RAID-019</t>
  </si>
  <si>
    <t xml:space="preserve">Existing customer ID images meet new resolution standard</t>
  </si>
  <si>
    <t xml:space="preserve">RAID-020</t>
  </si>
  <si>
    <t xml:space="preserve">Early rollout branches reported unclear dashboards, adoption risk</t>
  </si>
  <si>
    <t xml:space="preserve">2026-08-22</t>
  </si>
  <si>
    <t xml:space="preserve">RAID-021</t>
  </si>
  <si>
    <t xml:space="preserve">Rollout paused for a week due to reviewer unavailability</t>
  </si>
  <si>
    <t xml:space="preserve">2026-08-25</t>
  </si>
  <si>
    <t xml:space="preserve">RAID-022</t>
  </si>
  <si>
    <t xml:space="preserve">Depends on regional network upgrade completing by Wk4</t>
  </si>
  <si>
    <t xml:space="preserve">RAID-023</t>
  </si>
  <si>
    <t xml:space="preserve">Recovery push in Wk4 may require unbudgeted contractor support</t>
  </si>
  <si>
    <t xml:space="preserve">2026-09-13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</si>
</sst>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\%"/>
    <numFmt numFmtId="167" formatCode="\+0\%;\-0\%;0\%"/>
    <numFmt numFmtId="168" formatCode="#,##0"/>
    <numFmt numFmtId="169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46259</v>
      </c>
      <c r="E2" s="4" t="n">
        <v>60</v>
      </c>
      <c r="F2" s="2" t="s">
        <v>9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  <c r="D3" s="3" t="n">
        <v>46266</v>
      </c>
      <c r="E3" s="4" t="n">
        <v>65</v>
      </c>
      <c r="F3" s="2" t="s">
        <v>9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8</v>
      </c>
      <c r="D4" s="3" t="n">
        <v>46273</v>
      </c>
      <c r="E4" s="4" t="n">
        <v>70</v>
      </c>
      <c r="F4" s="2" t="s">
        <v>9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s">
        <v>8</v>
      </c>
      <c r="D5" s="3" t="n">
        <v>46280</v>
      </c>
      <c r="E5" s="4" t="n">
        <v>75</v>
      </c>
      <c r="F5" s="2" t="s">
        <v>9</v>
      </c>
    </row>
    <row r="6" customFormat="false" ht="15" hidden="false" customHeight="false" outlineLevel="0" collapsed="false">
      <c r="A6" s="2" t="s">
        <v>6</v>
      </c>
      <c r="B6" s="2" t="s">
        <v>7</v>
      </c>
      <c r="C6" s="2" t="s">
        <v>10</v>
      </c>
      <c r="D6" s="3" t="n">
        <v>46259</v>
      </c>
      <c r="E6" s="4" t="n">
        <v>30</v>
      </c>
      <c r="F6" s="2" t="s">
        <v>9</v>
      </c>
    </row>
    <row r="7" customFormat="false" ht="15" hidden="false" customHeight="false" outlineLevel="0" collapsed="false">
      <c r="A7" s="2" t="s">
        <v>6</v>
      </c>
      <c r="B7" s="2" t="s">
        <v>7</v>
      </c>
      <c r="C7" s="2" t="s">
        <v>10</v>
      </c>
      <c r="D7" s="3" t="n">
        <v>46266</v>
      </c>
      <c r="E7" s="4" t="n">
        <v>30</v>
      </c>
      <c r="F7" s="2" t="s">
        <v>9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10</v>
      </c>
      <c r="D8" s="3" t="n">
        <v>46273</v>
      </c>
      <c r="E8" s="4" t="n">
        <v>30</v>
      </c>
      <c r="F8" s="2" t="s">
        <v>9</v>
      </c>
    </row>
    <row r="9" customFormat="false" ht="15" hidden="false" customHeight="false" outlineLevel="0" collapsed="false">
      <c r="A9" s="2" t="s">
        <v>6</v>
      </c>
      <c r="B9" s="2" t="s">
        <v>7</v>
      </c>
      <c r="C9" s="2" t="s">
        <v>10</v>
      </c>
      <c r="D9" s="3" t="n">
        <v>46280</v>
      </c>
      <c r="E9" s="4" t="n">
        <v>30</v>
      </c>
      <c r="F9" s="2" t="s">
        <v>9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8</v>
      </c>
      <c r="D10" s="3" t="n">
        <v>46259</v>
      </c>
      <c r="E10" s="4" t="n">
        <v>30</v>
      </c>
      <c r="F10" s="2" t="s">
        <v>9</v>
      </c>
    </row>
    <row r="11" customFormat="false" ht="15" hidden="false" customHeight="false" outlineLevel="0" collapsed="false">
      <c r="A11" s="2" t="s">
        <v>11</v>
      </c>
      <c r="B11" s="2" t="s">
        <v>12</v>
      </c>
      <c r="C11" s="2" t="s">
        <v>8</v>
      </c>
      <c r="D11" s="3" t="n">
        <v>46266</v>
      </c>
      <c r="E11" s="4" t="n">
        <v>30</v>
      </c>
      <c r="F11" s="2" t="s">
        <v>9</v>
      </c>
    </row>
    <row r="12" customFormat="false" ht="15" hidden="false" customHeight="false" outlineLevel="0" collapsed="false">
      <c r="A12" s="2" t="s">
        <v>11</v>
      </c>
      <c r="B12" s="2" t="s">
        <v>12</v>
      </c>
      <c r="C12" s="2" t="s">
        <v>8</v>
      </c>
      <c r="D12" s="3" t="n">
        <v>46273</v>
      </c>
      <c r="E12" s="4" t="n">
        <v>30</v>
      </c>
      <c r="F12" s="2" t="s">
        <v>9</v>
      </c>
    </row>
    <row r="13" customFormat="false" ht="15" hidden="false" customHeight="false" outlineLevel="0" collapsed="false">
      <c r="A13" s="2" t="s">
        <v>11</v>
      </c>
      <c r="B13" s="2" t="s">
        <v>12</v>
      </c>
      <c r="C13" s="2" t="s">
        <v>8</v>
      </c>
      <c r="D13" s="3" t="n">
        <v>46280</v>
      </c>
      <c r="E13" s="4" t="n">
        <v>30</v>
      </c>
      <c r="F13" s="2" t="s">
        <v>9</v>
      </c>
    </row>
    <row r="14" customFormat="false" ht="15" hidden="false" customHeight="false" outlineLevel="0" collapsed="false">
      <c r="A14" s="2" t="s">
        <v>11</v>
      </c>
      <c r="B14" s="2" t="s">
        <v>12</v>
      </c>
      <c r="C14" s="2" t="s">
        <v>13</v>
      </c>
      <c r="D14" s="3" t="n">
        <v>46259</v>
      </c>
      <c r="E14" s="4" t="n">
        <v>30</v>
      </c>
      <c r="F14" s="2" t="s">
        <v>9</v>
      </c>
    </row>
    <row r="15" customFormat="false" ht="15" hidden="false" customHeight="false" outlineLevel="0" collapsed="false">
      <c r="A15" s="2" t="s">
        <v>11</v>
      </c>
      <c r="B15" s="2" t="s">
        <v>12</v>
      </c>
      <c r="C15" s="2" t="s">
        <v>13</v>
      </c>
      <c r="D15" s="3" t="n">
        <v>46266</v>
      </c>
      <c r="E15" s="4" t="n">
        <v>35</v>
      </c>
      <c r="F15" s="2" t="s">
        <v>9</v>
      </c>
    </row>
    <row r="16" customFormat="false" ht="15" hidden="false" customHeight="false" outlineLevel="0" collapsed="false">
      <c r="A16" s="2" t="s">
        <v>11</v>
      </c>
      <c r="B16" s="2" t="s">
        <v>12</v>
      </c>
      <c r="C16" s="2" t="s">
        <v>13</v>
      </c>
      <c r="D16" s="3" t="n">
        <v>46273</v>
      </c>
      <c r="E16" s="4" t="n">
        <v>40</v>
      </c>
      <c r="F16" s="2" t="s">
        <v>9</v>
      </c>
    </row>
    <row r="17" customFormat="false" ht="15" hidden="false" customHeight="false" outlineLevel="0" collapsed="false">
      <c r="A17" s="2" t="s">
        <v>11</v>
      </c>
      <c r="B17" s="2" t="s">
        <v>12</v>
      </c>
      <c r="C17" s="2" t="s">
        <v>13</v>
      </c>
      <c r="D17" s="3" t="n">
        <v>46280</v>
      </c>
      <c r="E17" s="4" t="n">
        <v>45</v>
      </c>
      <c r="F17" s="2" t="s">
        <v>9</v>
      </c>
    </row>
    <row r="18" customFormat="false" ht="15" hidden="false" customHeight="false" outlineLevel="0" collapsed="false">
      <c r="A18" s="2" t="s">
        <v>11</v>
      </c>
      <c r="B18" s="2" t="s">
        <v>12</v>
      </c>
      <c r="C18" s="2" t="s">
        <v>14</v>
      </c>
      <c r="D18" s="3" t="n">
        <v>46259</v>
      </c>
      <c r="E18" s="4" t="n">
        <v>20</v>
      </c>
      <c r="F18" s="2" t="s">
        <v>15</v>
      </c>
    </row>
    <row r="19" customFormat="false" ht="15" hidden="false" customHeight="false" outlineLevel="0" collapsed="false">
      <c r="A19" s="2" t="s">
        <v>11</v>
      </c>
      <c r="B19" s="2" t="s">
        <v>12</v>
      </c>
      <c r="C19" s="2" t="s">
        <v>14</v>
      </c>
      <c r="D19" s="3" t="n">
        <v>46266</v>
      </c>
      <c r="E19" s="4" t="n">
        <v>20</v>
      </c>
      <c r="F19" s="2" t="s">
        <v>15</v>
      </c>
    </row>
    <row r="20" customFormat="false" ht="15" hidden="false" customHeight="false" outlineLevel="0" collapsed="false">
      <c r="A20" s="2" t="s">
        <v>11</v>
      </c>
      <c r="B20" s="2" t="s">
        <v>12</v>
      </c>
      <c r="C20" s="2" t="s">
        <v>14</v>
      </c>
      <c r="D20" s="3" t="n">
        <v>46273</v>
      </c>
      <c r="E20" s="4" t="n">
        <v>20</v>
      </c>
      <c r="F20" s="2" t="s">
        <v>15</v>
      </c>
    </row>
    <row r="21" customFormat="false" ht="15" hidden="false" customHeight="false" outlineLevel="0" collapsed="false">
      <c r="A21" s="2" t="s">
        <v>11</v>
      </c>
      <c r="B21" s="2" t="s">
        <v>12</v>
      </c>
      <c r="C21" s="2" t="s">
        <v>14</v>
      </c>
      <c r="D21" s="3" t="n">
        <v>46280</v>
      </c>
      <c r="E21" s="4" t="n">
        <v>20</v>
      </c>
      <c r="F21" s="2" t="s">
        <v>15</v>
      </c>
    </row>
    <row r="22" customFormat="false" ht="15" hidden="false" customHeight="false" outlineLevel="0" collapsed="false">
      <c r="A22" s="2" t="s">
        <v>16</v>
      </c>
      <c r="B22" s="2" t="s">
        <v>17</v>
      </c>
      <c r="C22" s="2" t="s">
        <v>13</v>
      </c>
      <c r="D22" s="3" t="n">
        <v>46259</v>
      </c>
      <c r="E22" s="4" t="n">
        <v>50</v>
      </c>
      <c r="F22" s="2" t="s">
        <v>9</v>
      </c>
    </row>
    <row r="23" customFormat="false" ht="15" hidden="false" customHeight="false" outlineLevel="0" collapsed="false">
      <c r="A23" s="2" t="s">
        <v>16</v>
      </c>
      <c r="B23" s="2" t="s">
        <v>17</v>
      </c>
      <c r="C23" s="2" t="s">
        <v>13</v>
      </c>
      <c r="D23" s="3" t="n">
        <v>46266</v>
      </c>
      <c r="E23" s="4" t="n">
        <v>55</v>
      </c>
      <c r="F23" s="2" t="s">
        <v>9</v>
      </c>
    </row>
    <row r="24" customFormat="false" ht="15" hidden="false" customHeight="false" outlineLevel="0" collapsed="false">
      <c r="A24" s="2" t="s">
        <v>16</v>
      </c>
      <c r="B24" s="2" t="s">
        <v>17</v>
      </c>
      <c r="C24" s="2" t="s">
        <v>13</v>
      </c>
      <c r="D24" s="3" t="n">
        <v>46273</v>
      </c>
      <c r="E24" s="4" t="n">
        <v>60</v>
      </c>
      <c r="F24" s="2" t="s">
        <v>9</v>
      </c>
    </row>
    <row r="25" customFormat="false" ht="15" hidden="false" customHeight="false" outlineLevel="0" collapsed="false">
      <c r="A25" s="2" t="s">
        <v>16</v>
      </c>
      <c r="B25" s="2" t="s">
        <v>17</v>
      </c>
      <c r="C25" s="2" t="s">
        <v>13</v>
      </c>
      <c r="D25" s="3" t="n">
        <v>46280</v>
      </c>
      <c r="E25" s="4" t="n">
        <v>65</v>
      </c>
      <c r="F25" s="2" t="s">
        <v>9</v>
      </c>
    </row>
    <row r="26" customFormat="false" ht="15" hidden="false" customHeight="false" outlineLevel="0" collapsed="false">
      <c r="A26" s="2" t="s">
        <v>16</v>
      </c>
      <c r="B26" s="2" t="s">
        <v>17</v>
      </c>
      <c r="C26" s="2" t="s">
        <v>14</v>
      </c>
      <c r="D26" s="3" t="n">
        <v>46259</v>
      </c>
      <c r="E26" s="4" t="n">
        <v>20</v>
      </c>
      <c r="F26" s="2" t="s">
        <v>15</v>
      </c>
    </row>
    <row r="27" customFormat="false" ht="15" hidden="false" customHeight="false" outlineLevel="0" collapsed="false">
      <c r="A27" s="2" t="s">
        <v>16</v>
      </c>
      <c r="B27" s="2" t="s">
        <v>17</v>
      </c>
      <c r="C27" s="2" t="s">
        <v>14</v>
      </c>
      <c r="D27" s="3" t="n">
        <v>46266</v>
      </c>
      <c r="E27" s="4" t="n">
        <v>20</v>
      </c>
      <c r="F27" s="2" t="s">
        <v>15</v>
      </c>
    </row>
    <row r="28" customFormat="false" ht="15" hidden="false" customHeight="false" outlineLevel="0" collapsed="false">
      <c r="A28" s="2" t="s">
        <v>16</v>
      </c>
      <c r="B28" s="2" t="s">
        <v>17</v>
      </c>
      <c r="C28" s="2" t="s">
        <v>14</v>
      </c>
      <c r="D28" s="3" t="n">
        <v>46273</v>
      </c>
      <c r="E28" s="4" t="n">
        <v>20</v>
      </c>
      <c r="F28" s="2" t="s">
        <v>15</v>
      </c>
    </row>
    <row r="29" customFormat="false" ht="15" hidden="false" customHeight="false" outlineLevel="0" collapsed="false">
      <c r="A29" s="2" t="s">
        <v>16</v>
      </c>
      <c r="B29" s="2" t="s">
        <v>17</v>
      </c>
      <c r="C29" s="2" t="s">
        <v>14</v>
      </c>
      <c r="D29" s="3" t="n">
        <v>46280</v>
      </c>
      <c r="E29" s="4" t="n">
        <v>20</v>
      </c>
      <c r="F29" s="2" t="s">
        <v>15</v>
      </c>
    </row>
    <row r="30" customFormat="false" ht="15" hidden="false" customHeight="false" outlineLevel="0" collapsed="false">
      <c r="A30" s="2" t="s">
        <v>18</v>
      </c>
      <c r="B30" s="2" t="s">
        <v>19</v>
      </c>
      <c r="C30" s="2" t="s">
        <v>10</v>
      </c>
      <c r="D30" s="3" t="n">
        <v>46259</v>
      </c>
      <c r="E30" s="4" t="n">
        <v>70</v>
      </c>
      <c r="F30" s="2" t="s">
        <v>9</v>
      </c>
    </row>
    <row r="31" customFormat="false" ht="15" hidden="false" customHeight="false" outlineLevel="0" collapsed="false">
      <c r="A31" s="2" t="s">
        <v>18</v>
      </c>
      <c r="B31" s="2" t="s">
        <v>19</v>
      </c>
      <c r="C31" s="2" t="s">
        <v>10</v>
      </c>
      <c r="D31" s="3" t="n">
        <v>46266</v>
      </c>
      <c r="E31" s="4" t="n">
        <v>70</v>
      </c>
      <c r="F31" s="2" t="s">
        <v>9</v>
      </c>
    </row>
    <row r="32" customFormat="false" ht="15" hidden="false" customHeight="false" outlineLevel="0" collapsed="false">
      <c r="A32" s="2" t="s">
        <v>18</v>
      </c>
      <c r="B32" s="2" t="s">
        <v>19</v>
      </c>
      <c r="C32" s="2" t="s">
        <v>10</v>
      </c>
      <c r="D32" s="3" t="n">
        <v>46273</v>
      </c>
      <c r="E32" s="4" t="n">
        <v>70</v>
      </c>
      <c r="F32" s="2" t="s">
        <v>9</v>
      </c>
    </row>
    <row r="33" customFormat="false" ht="15" hidden="false" customHeight="false" outlineLevel="0" collapsed="false">
      <c r="A33" s="2" t="s">
        <v>18</v>
      </c>
      <c r="B33" s="2" t="s">
        <v>19</v>
      </c>
      <c r="C33" s="2" t="s">
        <v>10</v>
      </c>
      <c r="D33" s="3" t="n">
        <v>46280</v>
      </c>
      <c r="E33" s="4" t="n">
        <v>70</v>
      </c>
      <c r="F33" s="2" t="s">
        <v>9</v>
      </c>
    </row>
    <row r="34" customFormat="false" ht="15" hidden="false" customHeight="false" outlineLevel="0" collapsed="false">
      <c r="A34" s="2" t="s">
        <v>18</v>
      </c>
      <c r="B34" s="2" t="s">
        <v>19</v>
      </c>
      <c r="C34" s="2" t="s">
        <v>20</v>
      </c>
      <c r="D34" s="3" t="n">
        <v>46259</v>
      </c>
      <c r="E34" s="4" t="n">
        <v>20</v>
      </c>
      <c r="F34" s="2" t="s">
        <v>9</v>
      </c>
    </row>
    <row r="35" customFormat="false" ht="15" hidden="false" customHeight="false" outlineLevel="0" collapsed="false">
      <c r="A35" s="2" t="s">
        <v>18</v>
      </c>
      <c r="B35" s="2" t="s">
        <v>19</v>
      </c>
      <c r="C35" s="2" t="s">
        <v>20</v>
      </c>
      <c r="D35" s="3" t="n">
        <v>46266</v>
      </c>
      <c r="E35" s="4" t="n">
        <v>25</v>
      </c>
      <c r="F35" s="2" t="s">
        <v>9</v>
      </c>
    </row>
    <row r="36" customFormat="false" ht="15" hidden="false" customHeight="false" outlineLevel="0" collapsed="false">
      <c r="A36" s="2" t="s">
        <v>18</v>
      </c>
      <c r="B36" s="2" t="s">
        <v>19</v>
      </c>
      <c r="C36" s="2" t="s">
        <v>20</v>
      </c>
      <c r="D36" s="3" t="n">
        <v>46273</v>
      </c>
      <c r="E36" s="4" t="n">
        <v>30</v>
      </c>
      <c r="F36" s="2" t="s">
        <v>9</v>
      </c>
    </row>
    <row r="37" customFormat="false" ht="15" hidden="false" customHeight="false" outlineLevel="0" collapsed="false">
      <c r="A37" s="2" t="s">
        <v>18</v>
      </c>
      <c r="B37" s="2" t="s">
        <v>19</v>
      </c>
      <c r="C37" s="2" t="s">
        <v>20</v>
      </c>
      <c r="D37" s="3" t="n">
        <v>46280</v>
      </c>
      <c r="E37" s="4" t="n">
        <v>35</v>
      </c>
      <c r="F37" s="2" t="s">
        <v>9</v>
      </c>
    </row>
    <row r="38" customFormat="false" ht="15" hidden="false" customHeight="false" outlineLevel="0" collapsed="false">
      <c r="A38" s="2" t="s">
        <v>21</v>
      </c>
      <c r="B38" s="2" t="s">
        <v>22</v>
      </c>
      <c r="C38" s="2" t="s">
        <v>8</v>
      </c>
      <c r="D38" s="3" t="n">
        <v>46259</v>
      </c>
      <c r="E38" s="4" t="n">
        <v>20</v>
      </c>
      <c r="F38" s="2" t="s">
        <v>9</v>
      </c>
    </row>
    <row r="39" customFormat="false" ht="15" hidden="false" customHeight="false" outlineLevel="0" collapsed="false">
      <c r="A39" s="2" t="s">
        <v>21</v>
      </c>
      <c r="B39" s="2" t="s">
        <v>22</v>
      </c>
      <c r="C39" s="2" t="s">
        <v>8</v>
      </c>
      <c r="D39" s="3" t="n">
        <v>46266</v>
      </c>
      <c r="E39" s="4" t="n">
        <v>20</v>
      </c>
      <c r="F39" s="2" t="s">
        <v>9</v>
      </c>
    </row>
    <row r="40" customFormat="false" ht="15" hidden="false" customHeight="false" outlineLevel="0" collapsed="false">
      <c r="A40" s="2" t="s">
        <v>21</v>
      </c>
      <c r="B40" s="2" t="s">
        <v>22</v>
      </c>
      <c r="C40" s="2" t="s">
        <v>8</v>
      </c>
      <c r="D40" s="3" t="n">
        <v>46273</v>
      </c>
      <c r="E40" s="4" t="n">
        <v>20</v>
      </c>
      <c r="F40" s="2" t="s">
        <v>9</v>
      </c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8</v>
      </c>
      <c r="D41" s="3" t="n">
        <v>46280</v>
      </c>
      <c r="E41" s="4" t="n">
        <v>20</v>
      </c>
      <c r="F41" s="2" t="s">
        <v>9</v>
      </c>
    </row>
    <row r="42" customFormat="false" ht="15" hidden="false" customHeight="false" outlineLevel="0" collapsed="false">
      <c r="A42" s="2" t="s">
        <v>21</v>
      </c>
      <c r="B42" s="2" t="s">
        <v>22</v>
      </c>
      <c r="C42" s="2" t="s">
        <v>13</v>
      </c>
      <c r="D42" s="3" t="n">
        <v>46259</v>
      </c>
      <c r="E42" s="4" t="n">
        <v>20</v>
      </c>
      <c r="F42" s="2" t="s">
        <v>9</v>
      </c>
    </row>
    <row r="43" customFormat="false" ht="15" hidden="false" customHeight="false" outlineLevel="0" collapsed="false">
      <c r="A43" s="2" t="s">
        <v>21</v>
      </c>
      <c r="B43" s="2" t="s">
        <v>22</v>
      </c>
      <c r="C43" s="2" t="s">
        <v>13</v>
      </c>
      <c r="D43" s="3" t="n">
        <v>46266</v>
      </c>
      <c r="E43" s="4" t="n">
        <v>20</v>
      </c>
      <c r="F43" s="2" t="s">
        <v>9</v>
      </c>
    </row>
    <row r="44" customFormat="false" ht="15" hidden="false" customHeight="false" outlineLevel="0" collapsed="false">
      <c r="A44" s="2" t="s">
        <v>21</v>
      </c>
      <c r="B44" s="2" t="s">
        <v>22</v>
      </c>
      <c r="C44" s="2" t="s">
        <v>13</v>
      </c>
      <c r="D44" s="3" t="n">
        <v>46273</v>
      </c>
      <c r="E44" s="4" t="n">
        <v>20</v>
      </c>
      <c r="F44" s="2" t="s">
        <v>9</v>
      </c>
    </row>
    <row r="45" customFormat="false" ht="15" hidden="false" customHeight="false" outlineLevel="0" collapsed="false">
      <c r="A45" s="2" t="s">
        <v>21</v>
      </c>
      <c r="B45" s="2" t="s">
        <v>22</v>
      </c>
      <c r="C45" s="2" t="s">
        <v>13</v>
      </c>
      <c r="D45" s="3" t="n">
        <v>46280</v>
      </c>
      <c r="E45" s="4" t="n">
        <v>20</v>
      </c>
      <c r="F45" s="2" t="s">
        <v>9</v>
      </c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14</v>
      </c>
      <c r="D46" s="3" t="n">
        <v>46259</v>
      </c>
      <c r="E46" s="4" t="n">
        <v>20</v>
      </c>
      <c r="F46" s="2" t="s">
        <v>15</v>
      </c>
    </row>
    <row r="47" customFormat="false" ht="15" hidden="false" customHeight="false" outlineLevel="0" collapsed="false">
      <c r="A47" s="2" t="s">
        <v>21</v>
      </c>
      <c r="B47" s="2" t="s">
        <v>22</v>
      </c>
      <c r="C47" s="2" t="s">
        <v>14</v>
      </c>
      <c r="D47" s="3" t="n">
        <v>46266</v>
      </c>
      <c r="E47" s="4" t="n">
        <v>20</v>
      </c>
      <c r="F47" s="2" t="s">
        <v>15</v>
      </c>
    </row>
    <row r="48" customFormat="false" ht="15" hidden="false" customHeight="false" outlineLevel="0" collapsed="false">
      <c r="A48" s="2" t="s">
        <v>21</v>
      </c>
      <c r="B48" s="2" t="s">
        <v>22</v>
      </c>
      <c r="C48" s="2" t="s">
        <v>14</v>
      </c>
      <c r="D48" s="3" t="n">
        <v>46273</v>
      </c>
      <c r="E48" s="4" t="n">
        <v>20</v>
      </c>
      <c r="F48" s="2" t="s">
        <v>15</v>
      </c>
    </row>
    <row r="49" customFormat="false" ht="15" hidden="false" customHeight="false" outlineLevel="0" collapsed="false">
      <c r="A49" s="2" t="s">
        <v>21</v>
      </c>
      <c r="B49" s="2" t="s">
        <v>22</v>
      </c>
      <c r="C49" s="2" t="s">
        <v>14</v>
      </c>
      <c r="D49" s="3" t="n">
        <v>46280</v>
      </c>
      <c r="E49" s="4" t="n">
        <v>20</v>
      </c>
      <c r="F49" s="2" t="s">
        <v>15</v>
      </c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3" t="n">
        <v>46259</v>
      </c>
      <c r="E50" s="4" t="n">
        <v>10</v>
      </c>
      <c r="F50" s="2" t="s">
        <v>9</v>
      </c>
    </row>
    <row r="51" customFormat="false" ht="15" hidden="false" customHeight="false" outlineLevel="0" collapsed="false">
      <c r="A51" s="2" t="s">
        <v>21</v>
      </c>
      <c r="B51" s="2" t="s">
        <v>22</v>
      </c>
      <c r="C51" s="2" t="s">
        <v>23</v>
      </c>
      <c r="D51" s="3" t="n">
        <v>46266</v>
      </c>
      <c r="E51" s="4" t="n">
        <v>10</v>
      </c>
      <c r="F51" s="2" t="s">
        <v>9</v>
      </c>
    </row>
    <row r="52" customFormat="false" ht="15" hidden="false" customHeight="false" outlineLevel="0" collapsed="false">
      <c r="A52" s="2" t="s">
        <v>21</v>
      </c>
      <c r="B52" s="2" t="s">
        <v>22</v>
      </c>
      <c r="C52" s="2" t="s">
        <v>23</v>
      </c>
      <c r="D52" s="3" t="n">
        <v>46273</v>
      </c>
      <c r="E52" s="4" t="n">
        <v>10</v>
      </c>
      <c r="F52" s="2" t="s">
        <v>9</v>
      </c>
    </row>
    <row r="53" customFormat="false" ht="15" hidden="false" customHeight="false" outlineLevel="0" collapsed="false">
      <c r="A53" s="2" t="s">
        <v>21</v>
      </c>
      <c r="B53" s="2" t="s">
        <v>22</v>
      </c>
      <c r="C53" s="2" t="s">
        <v>23</v>
      </c>
      <c r="D53" s="3" t="n">
        <v>46280</v>
      </c>
      <c r="E53" s="4" t="n">
        <v>10</v>
      </c>
      <c r="F53" s="2" t="s">
        <v>9</v>
      </c>
    </row>
    <row r="54" customFormat="false" ht="15" hidden="false" customHeight="false" outlineLevel="0" collapsed="false">
      <c r="A54" s="2" t="s">
        <v>24</v>
      </c>
      <c r="B54" s="2" t="s">
        <v>7</v>
      </c>
      <c r="C54" s="2" t="s">
        <v>14</v>
      </c>
      <c r="D54" s="3" t="n">
        <v>46259</v>
      </c>
      <c r="E54" s="4" t="n">
        <v>60</v>
      </c>
      <c r="F54" s="2" t="s">
        <v>15</v>
      </c>
    </row>
    <row r="55" customFormat="false" ht="15" hidden="false" customHeight="false" outlineLevel="0" collapsed="false">
      <c r="A55" s="2" t="s">
        <v>24</v>
      </c>
      <c r="B55" s="2" t="s">
        <v>7</v>
      </c>
      <c r="C55" s="2" t="s">
        <v>14</v>
      </c>
      <c r="D55" s="3" t="n">
        <v>46266</v>
      </c>
      <c r="E55" s="4" t="n">
        <v>55</v>
      </c>
      <c r="F55" s="2" t="s">
        <v>15</v>
      </c>
    </row>
    <row r="56" customFormat="false" ht="15" hidden="false" customHeight="false" outlineLevel="0" collapsed="false">
      <c r="A56" s="2" t="s">
        <v>24</v>
      </c>
      <c r="B56" s="2" t="s">
        <v>7</v>
      </c>
      <c r="C56" s="2" t="s">
        <v>14</v>
      </c>
      <c r="D56" s="3" t="n">
        <v>46273</v>
      </c>
      <c r="E56" s="4" t="n">
        <v>50</v>
      </c>
      <c r="F56" s="2" t="s">
        <v>15</v>
      </c>
    </row>
    <row r="57" customFormat="false" ht="15" hidden="false" customHeight="false" outlineLevel="0" collapsed="false">
      <c r="A57" s="2" t="s">
        <v>24</v>
      </c>
      <c r="B57" s="2" t="s">
        <v>7</v>
      </c>
      <c r="C57" s="2" t="s">
        <v>14</v>
      </c>
      <c r="D57" s="3" t="n">
        <v>46280</v>
      </c>
      <c r="E57" s="4" t="n">
        <v>45</v>
      </c>
      <c r="F57" s="2" t="s">
        <v>15</v>
      </c>
    </row>
    <row r="58" customFormat="false" ht="15" hidden="false" customHeight="false" outlineLevel="0" collapsed="false">
      <c r="A58" s="2" t="s">
        <v>24</v>
      </c>
      <c r="B58" s="2" t="s">
        <v>7</v>
      </c>
      <c r="C58" s="2" t="s">
        <v>8</v>
      </c>
      <c r="D58" s="3" t="n">
        <v>46259</v>
      </c>
      <c r="E58" s="4" t="n">
        <v>30</v>
      </c>
      <c r="F58" s="2" t="s">
        <v>9</v>
      </c>
    </row>
    <row r="59" customFormat="false" ht="15" hidden="false" customHeight="false" outlineLevel="0" collapsed="false">
      <c r="A59" s="2" t="s">
        <v>24</v>
      </c>
      <c r="B59" s="2" t="s">
        <v>7</v>
      </c>
      <c r="C59" s="2" t="s">
        <v>8</v>
      </c>
      <c r="D59" s="3" t="n">
        <v>46266</v>
      </c>
      <c r="E59" s="4" t="n">
        <v>30</v>
      </c>
      <c r="F59" s="2" t="s">
        <v>9</v>
      </c>
    </row>
    <row r="60" customFormat="false" ht="15" hidden="false" customHeight="false" outlineLevel="0" collapsed="false">
      <c r="A60" s="2" t="s">
        <v>24</v>
      </c>
      <c r="B60" s="2" t="s">
        <v>7</v>
      </c>
      <c r="C60" s="2" t="s">
        <v>8</v>
      </c>
      <c r="D60" s="3" t="n">
        <v>46273</v>
      </c>
      <c r="E60" s="4" t="n">
        <v>30</v>
      </c>
      <c r="F60" s="2" t="s">
        <v>9</v>
      </c>
    </row>
    <row r="61" customFormat="false" ht="15" hidden="false" customHeight="false" outlineLevel="0" collapsed="false">
      <c r="A61" s="2" t="s">
        <v>24</v>
      </c>
      <c r="B61" s="2" t="s">
        <v>7</v>
      </c>
      <c r="C61" s="2" t="s">
        <v>8</v>
      </c>
      <c r="D61" s="3" t="n">
        <v>46280</v>
      </c>
      <c r="E61" s="4" t="n">
        <v>30</v>
      </c>
      <c r="F61" s="2" t="s">
        <v>9</v>
      </c>
    </row>
    <row r="62" customFormat="false" ht="15" hidden="false" customHeight="false" outlineLevel="0" collapsed="false">
      <c r="A62" s="2" t="s">
        <v>25</v>
      </c>
      <c r="B62" s="2" t="s">
        <v>17</v>
      </c>
      <c r="C62" s="2" t="s">
        <v>26</v>
      </c>
      <c r="D62" s="3" t="n">
        <v>46259</v>
      </c>
      <c r="E62" s="4" t="n">
        <v>70</v>
      </c>
      <c r="F62" s="2" t="s">
        <v>9</v>
      </c>
    </row>
    <row r="63" customFormat="false" ht="15" hidden="false" customHeight="false" outlineLevel="0" collapsed="false">
      <c r="A63" s="2" t="s">
        <v>25</v>
      </c>
      <c r="B63" s="2" t="s">
        <v>17</v>
      </c>
      <c r="C63" s="2" t="s">
        <v>26</v>
      </c>
      <c r="D63" s="3" t="n">
        <v>46266</v>
      </c>
      <c r="E63" s="4" t="n">
        <v>70</v>
      </c>
      <c r="F63" s="2" t="s">
        <v>9</v>
      </c>
    </row>
    <row r="64" customFormat="false" ht="15" hidden="false" customHeight="false" outlineLevel="0" collapsed="false">
      <c r="A64" s="2" t="s">
        <v>25</v>
      </c>
      <c r="B64" s="2" t="s">
        <v>17</v>
      </c>
      <c r="C64" s="2" t="s">
        <v>26</v>
      </c>
      <c r="D64" s="3" t="n">
        <v>46273</v>
      </c>
      <c r="E64" s="4" t="n">
        <v>70</v>
      </c>
      <c r="F64" s="2" t="s">
        <v>9</v>
      </c>
    </row>
    <row r="65" customFormat="false" ht="15" hidden="false" customHeight="false" outlineLevel="0" collapsed="false">
      <c r="A65" s="2" t="s">
        <v>25</v>
      </c>
      <c r="B65" s="2" t="s">
        <v>17</v>
      </c>
      <c r="C65" s="2" t="s">
        <v>26</v>
      </c>
      <c r="D65" s="3" t="n">
        <v>46280</v>
      </c>
      <c r="E65" s="4" t="n">
        <v>70</v>
      </c>
      <c r="F65" s="2" t="s">
        <v>9</v>
      </c>
    </row>
    <row r="66" customFormat="false" ht="15" hidden="false" customHeight="false" outlineLevel="0" collapsed="false">
      <c r="A66" s="2" t="s">
        <v>25</v>
      </c>
      <c r="B66" s="2" t="s">
        <v>17</v>
      </c>
      <c r="C66" s="2" t="s">
        <v>13</v>
      </c>
      <c r="D66" s="3" t="n">
        <v>46259</v>
      </c>
      <c r="E66" s="4" t="n">
        <v>20</v>
      </c>
      <c r="F66" s="2" t="s">
        <v>9</v>
      </c>
    </row>
    <row r="67" customFormat="false" ht="15" hidden="false" customHeight="false" outlineLevel="0" collapsed="false">
      <c r="A67" s="2" t="s">
        <v>25</v>
      </c>
      <c r="B67" s="2" t="s">
        <v>17</v>
      </c>
      <c r="C67" s="2" t="s">
        <v>13</v>
      </c>
      <c r="D67" s="3" t="n">
        <v>46266</v>
      </c>
      <c r="E67" s="4" t="n">
        <v>25</v>
      </c>
      <c r="F67" s="2" t="s">
        <v>9</v>
      </c>
    </row>
    <row r="68" customFormat="false" ht="15" hidden="false" customHeight="false" outlineLevel="0" collapsed="false">
      <c r="A68" s="2" t="s">
        <v>25</v>
      </c>
      <c r="B68" s="2" t="s">
        <v>17</v>
      </c>
      <c r="C68" s="2" t="s">
        <v>13</v>
      </c>
      <c r="D68" s="3" t="n">
        <v>46273</v>
      </c>
      <c r="E68" s="4" t="n">
        <v>30</v>
      </c>
      <c r="F68" s="2" t="s">
        <v>9</v>
      </c>
    </row>
    <row r="69" customFormat="false" ht="15" hidden="false" customHeight="false" outlineLevel="0" collapsed="false">
      <c r="A69" s="2" t="s">
        <v>25</v>
      </c>
      <c r="B69" s="2" t="s">
        <v>17</v>
      </c>
      <c r="C69" s="2" t="s">
        <v>13</v>
      </c>
      <c r="D69" s="3" t="n">
        <v>46280</v>
      </c>
      <c r="E69" s="4" t="n">
        <v>35</v>
      </c>
      <c r="F69" s="2" t="s">
        <v>9</v>
      </c>
    </row>
    <row r="70" customFormat="false" ht="15" hidden="false" customHeight="false" outlineLevel="0" collapsed="false">
      <c r="A70" s="2" t="s">
        <v>27</v>
      </c>
      <c r="B70" s="2" t="s">
        <v>19</v>
      </c>
      <c r="C70" s="2" t="s">
        <v>26</v>
      </c>
      <c r="D70" s="3" t="n">
        <v>46259</v>
      </c>
      <c r="E70" s="4" t="n">
        <v>50</v>
      </c>
      <c r="F70" s="2" t="s">
        <v>9</v>
      </c>
    </row>
    <row r="71" customFormat="false" ht="15" hidden="false" customHeight="false" outlineLevel="0" collapsed="false">
      <c r="A71" s="2" t="s">
        <v>27</v>
      </c>
      <c r="B71" s="2" t="s">
        <v>19</v>
      </c>
      <c r="C71" s="2" t="s">
        <v>26</v>
      </c>
      <c r="D71" s="3" t="n">
        <v>46266</v>
      </c>
      <c r="E71" s="4" t="n">
        <v>45</v>
      </c>
      <c r="F71" s="2" t="s">
        <v>9</v>
      </c>
    </row>
    <row r="72" customFormat="false" ht="15" hidden="false" customHeight="false" outlineLevel="0" collapsed="false">
      <c r="A72" s="2" t="s">
        <v>27</v>
      </c>
      <c r="B72" s="2" t="s">
        <v>19</v>
      </c>
      <c r="C72" s="2" t="s">
        <v>26</v>
      </c>
      <c r="D72" s="3" t="n">
        <v>46273</v>
      </c>
      <c r="E72" s="4" t="n">
        <v>40</v>
      </c>
      <c r="F72" s="2" t="s">
        <v>9</v>
      </c>
    </row>
    <row r="73" customFormat="false" ht="15" hidden="false" customHeight="false" outlineLevel="0" collapsed="false">
      <c r="A73" s="2" t="s">
        <v>27</v>
      </c>
      <c r="B73" s="2" t="s">
        <v>19</v>
      </c>
      <c r="C73" s="2" t="s">
        <v>26</v>
      </c>
      <c r="D73" s="3" t="n">
        <v>46280</v>
      </c>
      <c r="E73" s="4" t="n">
        <v>35</v>
      </c>
      <c r="F73" s="2" t="s">
        <v>9</v>
      </c>
    </row>
    <row r="74" customFormat="false" ht="15" hidden="false" customHeight="false" outlineLevel="0" collapsed="false">
      <c r="A74" s="2" t="s">
        <v>27</v>
      </c>
      <c r="B74" s="2" t="s">
        <v>19</v>
      </c>
      <c r="C74" s="2" t="s">
        <v>10</v>
      </c>
      <c r="D74" s="3" t="n">
        <v>46259</v>
      </c>
      <c r="E74" s="4" t="n">
        <v>20</v>
      </c>
      <c r="F74" s="2" t="s">
        <v>9</v>
      </c>
    </row>
    <row r="75" customFormat="false" ht="15" hidden="false" customHeight="false" outlineLevel="0" collapsed="false">
      <c r="A75" s="2" t="s">
        <v>27</v>
      </c>
      <c r="B75" s="2" t="s">
        <v>19</v>
      </c>
      <c r="C75" s="2" t="s">
        <v>10</v>
      </c>
      <c r="D75" s="3" t="n">
        <v>46266</v>
      </c>
      <c r="E75" s="4" t="n">
        <v>20</v>
      </c>
      <c r="F75" s="2" t="s">
        <v>9</v>
      </c>
    </row>
    <row r="76" customFormat="false" ht="15" hidden="false" customHeight="false" outlineLevel="0" collapsed="false">
      <c r="A76" s="2" t="s">
        <v>27</v>
      </c>
      <c r="B76" s="2" t="s">
        <v>19</v>
      </c>
      <c r="C76" s="2" t="s">
        <v>10</v>
      </c>
      <c r="D76" s="3" t="n">
        <v>46273</v>
      </c>
      <c r="E76" s="4" t="n">
        <v>20</v>
      </c>
      <c r="F76" s="2" t="s">
        <v>9</v>
      </c>
    </row>
    <row r="77" customFormat="false" ht="15" hidden="false" customHeight="false" outlineLevel="0" collapsed="false">
      <c r="A77" s="2" t="s">
        <v>27</v>
      </c>
      <c r="B77" s="2" t="s">
        <v>19</v>
      </c>
      <c r="C77" s="2" t="s">
        <v>10</v>
      </c>
      <c r="D77" s="3" t="n">
        <v>46280</v>
      </c>
      <c r="E77" s="4" t="n">
        <v>20</v>
      </c>
      <c r="F77" s="2" t="s">
        <v>9</v>
      </c>
    </row>
    <row r="78" customFormat="false" ht="15" hidden="false" customHeight="false" outlineLevel="0" collapsed="false">
      <c r="A78" s="2" t="s">
        <v>28</v>
      </c>
      <c r="B78" s="2" t="s">
        <v>19</v>
      </c>
      <c r="C78" s="2" t="s">
        <v>20</v>
      </c>
      <c r="D78" s="3" t="n">
        <v>46259</v>
      </c>
      <c r="E78" s="4" t="n">
        <v>60</v>
      </c>
      <c r="F78" s="2" t="s">
        <v>9</v>
      </c>
    </row>
    <row r="79" customFormat="false" ht="15" hidden="false" customHeight="false" outlineLevel="0" collapsed="false">
      <c r="A79" s="2" t="s">
        <v>28</v>
      </c>
      <c r="B79" s="2" t="s">
        <v>19</v>
      </c>
      <c r="C79" s="2" t="s">
        <v>20</v>
      </c>
      <c r="D79" s="3" t="n">
        <v>46266</v>
      </c>
      <c r="E79" s="4" t="n">
        <v>65</v>
      </c>
      <c r="F79" s="2" t="s">
        <v>9</v>
      </c>
    </row>
    <row r="80" customFormat="false" ht="15" hidden="false" customHeight="false" outlineLevel="0" collapsed="false">
      <c r="A80" s="2" t="s">
        <v>28</v>
      </c>
      <c r="B80" s="2" t="s">
        <v>19</v>
      </c>
      <c r="C80" s="2" t="s">
        <v>20</v>
      </c>
      <c r="D80" s="3" t="n">
        <v>46273</v>
      </c>
      <c r="E80" s="4" t="n">
        <v>70</v>
      </c>
      <c r="F80" s="2" t="s">
        <v>9</v>
      </c>
    </row>
    <row r="81" customFormat="false" ht="15" hidden="false" customHeight="false" outlineLevel="0" collapsed="false">
      <c r="A81" s="2" t="s">
        <v>28</v>
      </c>
      <c r="B81" s="2" t="s">
        <v>19</v>
      </c>
      <c r="C81" s="2" t="s">
        <v>20</v>
      </c>
      <c r="D81" s="3" t="n">
        <v>46280</v>
      </c>
      <c r="E81" s="4" t="n">
        <v>75</v>
      </c>
      <c r="F81" s="2" t="s">
        <v>9</v>
      </c>
    </row>
    <row r="82" customFormat="false" ht="15" hidden="false" customHeight="false" outlineLevel="0" collapsed="false">
      <c r="A82" s="2" t="s">
        <v>28</v>
      </c>
      <c r="B82" s="2" t="s">
        <v>19</v>
      </c>
      <c r="C82" s="2" t="s">
        <v>8</v>
      </c>
      <c r="D82" s="3" t="n">
        <v>46259</v>
      </c>
      <c r="E82" s="4" t="n">
        <v>20</v>
      </c>
      <c r="F82" s="2" t="s">
        <v>9</v>
      </c>
    </row>
    <row r="83" customFormat="false" ht="15" hidden="false" customHeight="false" outlineLevel="0" collapsed="false">
      <c r="A83" s="2" t="s">
        <v>28</v>
      </c>
      <c r="B83" s="2" t="s">
        <v>19</v>
      </c>
      <c r="C83" s="2" t="s">
        <v>8</v>
      </c>
      <c r="D83" s="3" t="n">
        <v>46266</v>
      </c>
      <c r="E83" s="4" t="n">
        <v>20</v>
      </c>
      <c r="F83" s="2" t="s">
        <v>9</v>
      </c>
    </row>
    <row r="84" customFormat="false" ht="15" hidden="false" customHeight="false" outlineLevel="0" collapsed="false">
      <c r="A84" s="2" t="s">
        <v>28</v>
      </c>
      <c r="B84" s="2" t="s">
        <v>19</v>
      </c>
      <c r="C84" s="2" t="s">
        <v>8</v>
      </c>
      <c r="D84" s="3" t="n">
        <v>46273</v>
      </c>
      <c r="E84" s="4" t="n">
        <v>20</v>
      </c>
      <c r="F84" s="2" t="s">
        <v>9</v>
      </c>
    </row>
    <row r="85" customFormat="false" ht="15" hidden="false" customHeight="false" outlineLevel="0" collapsed="false">
      <c r="A85" s="2" t="s">
        <v>28</v>
      </c>
      <c r="B85" s="2" t="s">
        <v>19</v>
      </c>
      <c r="C85" s="2" t="s">
        <v>8</v>
      </c>
      <c r="D85" s="3" t="n">
        <v>46280</v>
      </c>
      <c r="E85" s="4" t="n">
        <v>20</v>
      </c>
      <c r="F85" s="2" t="s">
        <v>9</v>
      </c>
    </row>
    <row r="86" customFormat="false" ht="15" hidden="false" customHeight="false" outlineLevel="0" collapsed="false">
      <c r="A86" s="2" t="s">
        <v>29</v>
      </c>
      <c r="B86" s="2" t="s">
        <v>19</v>
      </c>
      <c r="C86" s="2" t="s">
        <v>23</v>
      </c>
      <c r="D86" s="3" t="n">
        <v>46259</v>
      </c>
      <c r="E86" s="4" t="n">
        <v>70</v>
      </c>
      <c r="F86" s="2" t="s">
        <v>9</v>
      </c>
    </row>
    <row r="87" customFormat="false" ht="15" hidden="false" customHeight="false" outlineLevel="0" collapsed="false">
      <c r="A87" s="2" t="s">
        <v>29</v>
      </c>
      <c r="B87" s="2" t="s">
        <v>19</v>
      </c>
      <c r="C87" s="2" t="s">
        <v>23</v>
      </c>
      <c r="D87" s="3" t="n">
        <v>46266</v>
      </c>
      <c r="E87" s="4" t="n">
        <v>70</v>
      </c>
      <c r="F87" s="2" t="s">
        <v>9</v>
      </c>
    </row>
    <row r="88" customFormat="false" ht="15" hidden="false" customHeight="false" outlineLevel="0" collapsed="false">
      <c r="A88" s="2" t="s">
        <v>29</v>
      </c>
      <c r="B88" s="2" t="s">
        <v>19</v>
      </c>
      <c r="C88" s="2" t="s">
        <v>23</v>
      </c>
      <c r="D88" s="3" t="n">
        <v>46273</v>
      </c>
      <c r="E88" s="4" t="n">
        <v>70</v>
      </c>
      <c r="F88" s="2" t="s">
        <v>9</v>
      </c>
    </row>
    <row r="89" customFormat="false" ht="15" hidden="false" customHeight="false" outlineLevel="0" collapsed="false">
      <c r="A89" s="2" t="s">
        <v>29</v>
      </c>
      <c r="B89" s="2" t="s">
        <v>19</v>
      </c>
      <c r="C89" s="2" t="s">
        <v>23</v>
      </c>
      <c r="D89" s="3" t="n">
        <v>46280</v>
      </c>
      <c r="E89" s="4" t="n">
        <v>85</v>
      </c>
      <c r="F89" s="2" t="s">
        <v>9</v>
      </c>
    </row>
    <row r="90" customFormat="false" ht="15" hidden="false" customHeight="false" outlineLevel="0" collapsed="false">
      <c r="A90" s="2" t="s">
        <v>29</v>
      </c>
      <c r="B90" s="2" t="s">
        <v>19</v>
      </c>
      <c r="C90" s="2" t="s">
        <v>20</v>
      </c>
      <c r="D90" s="3" t="n">
        <v>46259</v>
      </c>
      <c r="E90" s="4" t="n">
        <v>10</v>
      </c>
      <c r="F90" s="2" t="s">
        <v>9</v>
      </c>
    </row>
    <row r="91" customFormat="false" ht="15" hidden="false" customHeight="false" outlineLevel="0" collapsed="false">
      <c r="A91" s="2" t="s">
        <v>29</v>
      </c>
      <c r="B91" s="2" t="s">
        <v>19</v>
      </c>
      <c r="C91" s="2" t="s">
        <v>20</v>
      </c>
      <c r="D91" s="3" t="n">
        <v>46266</v>
      </c>
      <c r="E91" s="4" t="n">
        <v>10</v>
      </c>
      <c r="F91" s="2" t="s">
        <v>9</v>
      </c>
    </row>
    <row r="92" customFormat="false" ht="15" hidden="false" customHeight="false" outlineLevel="0" collapsed="false">
      <c r="A92" s="2" t="s">
        <v>29</v>
      </c>
      <c r="B92" s="2" t="s">
        <v>19</v>
      </c>
      <c r="C92" s="2" t="s">
        <v>20</v>
      </c>
      <c r="D92" s="3" t="n">
        <v>46273</v>
      </c>
      <c r="E92" s="4" t="n">
        <v>10</v>
      </c>
      <c r="F92" s="2" t="s">
        <v>9</v>
      </c>
    </row>
    <row r="93" customFormat="false" ht="15" hidden="false" customHeight="false" outlineLevel="0" collapsed="false">
      <c r="A93" s="2" t="s">
        <v>29</v>
      </c>
      <c r="B93" s="2" t="s">
        <v>19</v>
      </c>
      <c r="C93" s="2" t="s">
        <v>20</v>
      </c>
      <c r="D93" s="3" t="n">
        <v>46280</v>
      </c>
      <c r="E93" s="4" t="n">
        <v>10</v>
      </c>
      <c r="F93" s="2" t="s">
        <v>9</v>
      </c>
    </row>
    <row r="94" customFormat="false" ht="15" hidden="false" customHeight="false" outlineLevel="0" collapsed="false">
      <c r="A94" s="2" t="s">
        <v>30</v>
      </c>
      <c r="B94" s="2" t="s">
        <v>7</v>
      </c>
      <c r="C94" s="2" t="s">
        <v>20</v>
      </c>
      <c r="D94" s="3" t="n">
        <v>46259</v>
      </c>
      <c r="E94" s="4" t="n">
        <v>40</v>
      </c>
      <c r="F94" s="2" t="s">
        <v>9</v>
      </c>
    </row>
    <row r="95" customFormat="false" ht="15" hidden="false" customHeight="false" outlineLevel="0" collapsed="false">
      <c r="A95" s="2" t="s">
        <v>30</v>
      </c>
      <c r="B95" s="2" t="s">
        <v>7</v>
      </c>
      <c r="C95" s="2" t="s">
        <v>20</v>
      </c>
      <c r="D95" s="3" t="n">
        <v>46266</v>
      </c>
      <c r="E95" s="4" t="n">
        <v>45</v>
      </c>
      <c r="F95" s="2" t="s">
        <v>9</v>
      </c>
    </row>
    <row r="96" customFormat="false" ht="15" hidden="false" customHeight="false" outlineLevel="0" collapsed="false">
      <c r="A96" s="2" t="s">
        <v>30</v>
      </c>
      <c r="B96" s="2" t="s">
        <v>7</v>
      </c>
      <c r="C96" s="2" t="s">
        <v>20</v>
      </c>
      <c r="D96" s="3" t="n">
        <v>46273</v>
      </c>
      <c r="E96" s="4" t="n">
        <v>50</v>
      </c>
      <c r="F96" s="2" t="s">
        <v>9</v>
      </c>
    </row>
    <row r="97" customFormat="false" ht="15" hidden="false" customHeight="false" outlineLevel="0" collapsed="false">
      <c r="A97" s="2" t="s">
        <v>30</v>
      </c>
      <c r="B97" s="2" t="s">
        <v>7</v>
      </c>
      <c r="C97" s="2" t="s">
        <v>20</v>
      </c>
      <c r="D97" s="3" t="n">
        <v>46280</v>
      </c>
      <c r="E97" s="4" t="n">
        <v>55</v>
      </c>
      <c r="F97" s="2" t="s">
        <v>9</v>
      </c>
    </row>
    <row r="98" customFormat="false" ht="15" hidden="false" customHeight="false" outlineLevel="0" collapsed="false">
      <c r="A98" s="2" t="s">
        <v>30</v>
      </c>
      <c r="B98" s="2" t="s">
        <v>7</v>
      </c>
      <c r="C98" s="2" t="s">
        <v>23</v>
      </c>
      <c r="D98" s="3" t="n">
        <v>46259</v>
      </c>
      <c r="E98" s="4" t="n">
        <v>30</v>
      </c>
      <c r="F98" s="2" t="s">
        <v>9</v>
      </c>
    </row>
    <row r="99" customFormat="false" ht="15" hidden="false" customHeight="false" outlineLevel="0" collapsed="false">
      <c r="A99" s="2" t="s">
        <v>30</v>
      </c>
      <c r="B99" s="2" t="s">
        <v>7</v>
      </c>
      <c r="C99" s="2" t="s">
        <v>23</v>
      </c>
      <c r="D99" s="3" t="n">
        <v>46266</v>
      </c>
      <c r="E99" s="4" t="n">
        <v>30</v>
      </c>
      <c r="F99" s="2" t="s">
        <v>9</v>
      </c>
    </row>
    <row r="100" customFormat="false" ht="15" hidden="false" customHeight="false" outlineLevel="0" collapsed="false">
      <c r="A100" s="2" t="s">
        <v>30</v>
      </c>
      <c r="B100" s="2" t="s">
        <v>7</v>
      </c>
      <c r="C100" s="2" t="s">
        <v>23</v>
      </c>
      <c r="D100" s="3" t="n">
        <v>46273</v>
      </c>
      <c r="E100" s="4" t="n">
        <v>30</v>
      </c>
      <c r="F100" s="2" t="s">
        <v>9</v>
      </c>
    </row>
    <row r="101" customFormat="false" ht="15" hidden="false" customHeight="false" outlineLevel="0" collapsed="false">
      <c r="A101" s="2" t="s">
        <v>30</v>
      </c>
      <c r="B101" s="2" t="s">
        <v>7</v>
      </c>
      <c r="C101" s="2" t="s">
        <v>23</v>
      </c>
      <c r="D101" s="3" t="n">
        <v>46280</v>
      </c>
      <c r="E101" s="4" t="n">
        <v>30</v>
      </c>
      <c r="F101" s="2" t="s">
        <v>9</v>
      </c>
    </row>
    <row r="102" customFormat="false" ht="15" hidden="false" customHeight="false" outlineLevel="0" collapsed="false">
      <c r="A102" s="2" t="s">
        <v>31</v>
      </c>
      <c r="B102" s="2" t="s">
        <v>12</v>
      </c>
      <c r="C102" s="2" t="s">
        <v>23</v>
      </c>
      <c r="D102" s="3" t="n">
        <v>46259</v>
      </c>
      <c r="E102" s="4" t="n">
        <v>40</v>
      </c>
      <c r="F102" s="2" t="s">
        <v>9</v>
      </c>
    </row>
    <row r="103" customFormat="false" ht="15" hidden="false" customHeight="false" outlineLevel="0" collapsed="false">
      <c r="A103" s="2" t="s">
        <v>31</v>
      </c>
      <c r="B103" s="2" t="s">
        <v>12</v>
      </c>
      <c r="C103" s="2" t="s">
        <v>23</v>
      </c>
      <c r="D103" s="3" t="n">
        <v>46266</v>
      </c>
      <c r="E103" s="4" t="n">
        <v>40</v>
      </c>
      <c r="F103" s="2" t="s">
        <v>9</v>
      </c>
    </row>
    <row r="104" customFormat="false" ht="15" hidden="false" customHeight="false" outlineLevel="0" collapsed="false">
      <c r="A104" s="2" t="s">
        <v>31</v>
      </c>
      <c r="B104" s="2" t="s">
        <v>12</v>
      </c>
      <c r="C104" s="2" t="s">
        <v>23</v>
      </c>
      <c r="D104" s="3" t="n">
        <v>46273</v>
      </c>
      <c r="E104" s="4" t="n">
        <v>40</v>
      </c>
      <c r="F104" s="2" t="s">
        <v>9</v>
      </c>
    </row>
    <row r="105" customFormat="false" ht="15" hidden="false" customHeight="false" outlineLevel="0" collapsed="false">
      <c r="A105" s="2" t="s">
        <v>31</v>
      </c>
      <c r="B105" s="2" t="s">
        <v>12</v>
      </c>
      <c r="C105" s="2" t="s">
        <v>23</v>
      </c>
      <c r="D105" s="3" t="n">
        <v>46280</v>
      </c>
      <c r="E105" s="4" t="n">
        <v>40</v>
      </c>
      <c r="F105" s="2" t="s">
        <v>9</v>
      </c>
    </row>
    <row r="106" customFormat="false" ht="15" hidden="false" customHeight="false" outlineLevel="0" collapsed="false">
      <c r="A106" s="2" t="s">
        <v>31</v>
      </c>
      <c r="B106" s="2" t="s">
        <v>12</v>
      </c>
      <c r="C106" s="2" t="s">
        <v>14</v>
      </c>
      <c r="D106" s="3" t="n">
        <v>46259</v>
      </c>
      <c r="E106" s="4" t="n">
        <v>20</v>
      </c>
      <c r="F106" s="2" t="s">
        <v>15</v>
      </c>
    </row>
    <row r="107" customFormat="false" ht="15" hidden="false" customHeight="false" outlineLevel="0" collapsed="false">
      <c r="A107" s="2" t="s">
        <v>31</v>
      </c>
      <c r="B107" s="2" t="s">
        <v>12</v>
      </c>
      <c r="C107" s="2" t="s">
        <v>14</v>
      </c>
      <c r="D107" s="3" t="n">
        <v>46266</v>
      </c>
      <c r="E107" s="4" t="n">
        <v>25</v>
      </c>
      <c r="F107" s="2" t="s">
        <v>15</v>
      </c>
    </row>
    <row r="108" customFormat="false" ht="15" hidden="false" customHeight="false" outlineLevel="0" collapsed="false">
      <c r="A108" s="2" t="s">
        <v>31</v>
      </c>
      <c r="B108" s="2" t="s">
        <v>12</v>
      </c>
      <c r="C108" s="2" t="s">
        <v>14</v>
      </c>
      <c r="D108" s="3" t="n">
        <v>46273</v>
      </c>
      <c r="E108" s="4" t="n">
        <v>30</v>
      </c>
      <c r="F108" s="2" t="s">
        <v>15</v>
      </c>
    </row>
    <row r="109" customFormat="false" ht="15" hidden="false" customHeight="false" outlineLevel="0" collapsed="false">
      <c r="A109" s="2" t="s">
        <v>31</v>
      </c>
      <c r="B109" s="2" t="s">
        <v>12</v>
      </c>
      <c r="C109" s="2" t="s">
        <v>14</v>
      </c>
      <c r="D109" s="3" t="n">
        <v>46280</v>
      </c>
      <c r="E109" s="4" t="n">
        <v>35</v>
      </c>
      <c r="F10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  <col collapsed="false" customWidth="true" hidden="false" outlineLevel="0" max="7" min="6" style="0" width="16"/>
  </cols>
  <sheetData>
    <row r="1" customFormat="false" ht="26.85" hidden="false" customHeight="false" outlineLevel="0" collapsed="false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customFormat="false" ht="15" hidden="false" customHeight="false" outlineLevel="0" collapsed="false">
      <c r="A2" s="2" t="s">
        <v>6</v>
      </c>
      <c r="B2" s="4" t="n">
        <f aca="false">SUMIFS('Resource Allocation'!$E$2:$E$109,'Resource Allocation'!$A$2:$A$109,A2,'Resource Allocation'!$D$2:$D$109,DATE(2026,8,25))</f>
        <v>90</v>
      </c>
      <c r="C2" s="4" t="n">
        <f aca="false">SUMIFS('Resource Allocation'!$E$2:$E$109,'Resource Allocation'!$A$2:$A$109,A2,'Resource Allocation'!$D$2:$D$109,DATE(2026,9,1))</f>
        <v>95</v>
      </c>
      <c r="D2" s="4" t="n">
        <f aca="false">SUMIFS('Resource Allocation'!$E$2:$E$109,'Resource Allocation'!$A$2:$A$109,A2,'Resource Allocation'!$D$2:$D$109,DATE(2026,9,8))</f>
        <v>100</v>
      </c>
      <c r="E2" s="4" t="n">
        <f aca="false">SUMIFS('Resource Allocation'!$E$2:$E$109,'Resource Allocation'!$A$2:$A$109,A2,'Resource Allocation'!$D$2:$D$109,DATE(2026,9,15))</f>
        <v>105</v>
      </c>
      <c r="F2" s="5" t="n">
        <f aca="false">E2-B2</f>
        <v>15</v>
      </c>
      <c r="G2" s="2" t="str">
        <f aca="false">IF(E2&gt;100,"Overallocated",IF(E2&lt;70,"Underutilized","Optimal"))</f>
        <v>Overallocated</v>
      </c>
    </row>
    <row r="3" customFormat="false" ht="15" hidden="false" customHeight="false" outlineLevel="0" collapsed="false">
      <c r="A3" s="2" t="s">
        <v>11</v>
      </c>
      <c r="B3" s="4" t="n">
        <f aca="false">SUMIFS('Resource Allocation'!$E$2:$E$109,'Resource Allocation'!$A$2:$A$109,A3,'Resource Allocation'!$D$2:$D$109,DATE(2026,8,25))</f>
        <v>80</v>
      </c>
      <c r="C3" s="4" t="n">
        <f aca="false">SUMIFS('Resource Allocation'!$E$2:$E$109,'Resource Allocation'!$A$2:$A$109,A3,'Resource Allocation'!$D$2:$D$109,DATE(2026,9,1))</f>
        <v>85</v>
      </c>
      <c r="D3" s="4" t="n">
        <f aca="false">SUMIFS('Resource Allocation'!$E$2:$E$109,'Resource Allocation'!$A$2:$A$109,A3,'Resource Allocation'!$D$2:$D$109,DATE(2026,9,8))</f>
        <v>90</v>
      </c>
      <c r="E3" s="4" t="n">
        <f aca="false">SUMIFS('Resource Allocation'!$E$2:$E$109,'Resource Allocation'!$A$2:$A$109,A3,'Resource Allocation'!$D$2:$D$109,DATE(2026,9,15))</f>
        <v>95</v>
      </c>
      <c r="F3" s="5" t="n">
        <f aca="false">E3-B3</f>
        <v>15</v>
      </c>
      <c r="G3" s="2" t="str">
        <f aca="false">IF(E3&gt;100,"Overallocated",IF(E3&lt;70,"Underutilized","Optimal"))</f>
        <v>Optimal</v>
      </c>
    </row>
    <row r="4" customFormat="false" ht="15" hidden="false" customHeight="false" outlineLevel="0" collapsed="false">
      <c r="A4" s="2" t="s">
        <v>16</v>
      </c>
      <c r="B4" s="4" t="n">
        <f aca="false">SUMIFS('Resource Allocation'!$E$2:$E$109,'Resource Allocation'!$A$2:$A$109,A4,'Resource Allocation'!$D$2:$D$109,DATE(2026,8,25))</f>
        <v>70</v>
      </c>
      <c r="C4" s="4" t="n">
        <f aca="false">SUMIFS('Resource Allocation'!$E$2:$E$109,'Resource Allocation'!$A$2:$A$109,A4,'Resource Allocation'!$D$2:$D$109,DATE(2026,9,1))</f>
        <v>75</v>
      </c>
      <c r="D4" s="4" t="n">
        <f aca="false">SUMIFS('Resource Allocation'!$E$2:$E$109,'Resource Allocation'!$A$2:$A$109,A4,'Resource Allocation'!$D$2:$D$109,DATE(2026,9,8))</f>
        <v>80</v>
      </c>
      <c r="E4" s="4" t="n">
        <f aca="false">SUMIFS('Resource Allocation'!$E$2:$E$109,'Resource Allocation'!$A$2:$A$109,A4,'Resource Allocation'!$D$2:$D$109,DATE(2026,9,15))</f>
        <v>85</v>
      </c>
      <c r="F4" s="5" t="n">
        <f aca="false">E4-B4</f>
        <v>15</v>
      </c>
      <c r="G4" s="2" t="str">
        <f aca="false">IF(E4&gt;100,"Overallocated",IF(E4&lt;70,"Underutilized","Optimal"))</f>
        <v>Optimal</v>
      </c>
    </row>
    <row r="5" customFormat="false" ht="15" hidden="false" customHeight="false" outlineLevel="0" collapsed="false">
      <c r="A5" s="2" t="s">
        <v>18</v>
      </c>
      <c r="B5" s="4" t="n">
        <f aca="false">SUMIFS('Resource Allocation'!$E$2:$E$109,'Resource Allocation'!$A$2:$A$109,A5,'Resource Allocation'!$D$2:$D$109,DATE(2026,8,25))</f>
        <v>90</v>
      </c>
      <c r="C5" s="4" t="n">
        <f aca="false">SUMIFS('Resource Allocation'!$E$2:$E$109,'Resource Allocation'!$A$2:$A$109,A5,'Resource Allocation'!$D$2:$D$109,DATE(2026,9,1))</f>
        <v>95</v>
      </c>
      <c r="D5" s="4" t="n">
        <f aca="false">SUMIFS('Resource Allocation'!$E$2:$E$109,'Resource Allocation'!$A$2:$A$109,A5,'Resource Allocation'!$D$2:$D$109,DATE(2026,9,8))</f>
        <v>100</v>
      </c>
      <c r="E5" s="4" t="n">
        <f aca="false">SUMIFS('Resource Allocation'!$E$2:$E$109,'Resource Allocation'!$A$2:$A$109,A5,'Resource Allocation'!$D$2:$D$109,DATE(2026,9,15))</f>
        <v>105</v>
      </c>
      <c r="F5" s="5" t="n">
        <f aca="false">E5-B5</f>
        <v>15</v>
      </c>
      <c r="G5" s="2" t="str">
        <f aca="false">IF(E5&gt;100,"Overallocated",IF(E5&lt;70,"Underutilized","Optimal"))</f>
        <v>Overallocated</v>
      </c>
    </row>
    <row r="6" customFormat="false" ht="15" hidden="false" customHeight="false" outlineLevel="0" collapsed="false">
      <c r="A6" s="2" t="s">
        <v>21</v>
      </c>
      <c r="B6" s="4" t="n">
        <f aca="false">SUMIFS('Resource Allocation'!$E$2:$E$109,'Resource Allocation'!$A$2:$A$109,A6,'Resource Allocation'!$D$2:$D$109,DATE(2026,8,25))</f>
        <v>70</v>
      </c>
      <c r="C6" s="4" t="n">
        <f aca="false">SUMIFS('Resource Allocation'!$E$2:$E$109,'Resource Allocation'!$A$2:$A$109,A6,'Resource Allocation'!$D$2:$D$109,DATE(2026,9,1))</f>
        <v>70</v>
      </c>
      <c r="D6" s="4" t="n">
        <f aca="false">SUMIFS('Resource Allocation'!$E$2:$E$109,'Resource Allocation'!$A$2:$A$109,A6,'Resource Allocation'!$D$2:$D$109,DATE(2026,9,8))</f>
        <v>70</v>
      </c>
      <c r="E6" s="4" t="n">
        <f aca="false">SUMIFS('Resource Allocation'!$E$2:$E$109,'Resource Allocation'!$A$2:$A$109,A6,'Resource Allocation'!$D$2:$D$109,DATE(2026,9,15))</f>
        <v>70</v>
      </c>
      <c r="F6" s="5" t="n">
        <f aca="false">E6-B6</f>
        <v>0</v>
      </c>
      <c r="G6" s="2" t="str">
        <f aca="false">IF(E6&gt;100,"Overallocated",IF(E6&lt;70,"Underutilized","Optimal"))</f>
        <v>Optimal</v>
      </c>
    </row>
    <row r="7" customFormat="false" ht="15" hidden="false" customHeight="false" outlineLevel="0" collapsed="false">
      <c r="A7" s="2" t="s">
        <v>24</v>
      </c>
      <c r="B7" s="4" t="n">
        <f aca="false">SUMIFS('Resource Allocation'!$E$2:$E$109,'Resource Allocation'!$A$2:$A$109,A7,'Resource Allocation'!$D$2:$D$109,DATE(2026,8,25))</f>
        <v>90</v>
      </c>
      <c r="C7" s="4" t="n">
        <f aca="false">SUMIFS('Resource Allocation'!$E$2:$E$109,'Resource Allocation'!$A$2:$A$109,A7,'Resource Allocation'!$D$2:$D$109,DATE(2026,9,1))</f>
        <v>85</v>
      </c>
      <c r="D7" s="4" t="n">
        <f aca="false">SUMIFS('Resource Allocation'!$E$2:$E$109,'Resource Allocation'!$A$2:$A$109,A7,'Resource Allocation'!$D$2:$D$109,DATE(2026,9,8))</f>
        <v>80</v>
      </c>
      <c r="E7" s="4" t="n">
        <f aca="false">SUMIFS('Resource Allocation'!$E$2:$E$109,'Resource Allocation'!$A$2:$A$109,A7,'Resource Allocation'!$D$2:$D$109,DATE(2026,9,15))</f>
        <v>75</v>
      </c>
      <c r="F7" s="5" t="n">
        <f aca="false">E7-B7</f>
        <v>-15</v>
      </c>
      <c r="G7" s="2" t="str">
        <f aca="false">IF(E7&gt;100,"Overallocated",IF(E7&lt;70,"Underutilized","Optimal"))</f>
        <v>Optimal</v>
      </c>
    </row>
    <row r="8" customFormat="false" ht="15" hidden="false" customHeight="false" outlineLevel="0" collapsed="false">
      <c r="A8" s="2" t="s">
        <v>25</v>
      </c>
      <c r="B8" s="4" t="n">
        <f aca="false">SUMIFS('Resource Allocation'!$E$2:$E$109,'Resource Allocation'!$A$2:$A$109,A8,'Resource Allocation'!$D$2:$D$109,DATE(2026,8,25))</f>
        <v>90</v>
      </c>
      <c r="C8" s="4" t="n">
        <f aca="false">SUMIFS('Resource Allocation'!$E$2:$E$109,'Resource Allocation'!$A$2:$A$109,A8,'Resource Allocation'!$D$2:$D$109,DATE(2026,9,1))</f>
        <v>95</v>
      </c>
      <c r="D8" s="4" t="n">
        <f aca="false">SUMIFS('Resource Allocation'!$E$2:$E$109,'Resource Allocation'!$A$2:$A$109,A8,'Resource Allocation'!$D$2:$D$109,DATE(2026,9,8))</f>
        <v>100</v>
      </c>
      <c r="E8" s="4" t="n">
        <f aca="false">SUMIFS('Resource Allocation'!$E$2:$E$109,'Resource Allocation'!$A$2:$A$109,A8,'Resource Allocation'!$D$2:$D$109,DATE(2026,9,15))</f>
        <v>105</v>
      </c>
      <c r="F8" s="5" t="n">
        <f aca="false">E8-B8</f>
        <v>15</v>
      </c>
      <c r="G8" s="2" t="str">
        <f aca="false">IF(E8&gt;100,"Overallocated",IF(E8&lt;70,"Underutilized","Optimal"))</f>
        <v>Overallocated</v>
      </c>
    </row>
    <row r="9" customFormat="false" ht="15" hidden="false" customHeight="false" outlineLevel="0" collapsed="false">
      <c r="A9" s="2" t="s">
        <v>27</v>
      </c>
      <c r="B9" s="4" t="n">
        <f aca="false">SUMIFS('Resource Allocation'!$E$2:$E$109,'Resource Allocation'!$A$2:$A$109,A9,'Resource Allocation'!$D$2:$D$109,DATE(2026,8,25))</f>
        <v>70</v>
      </c>
      <c r="C9" s="4" t="n">
        <f aca="false">SUMIFS('Resource Allocation'!$E$2:$E$109,'Resource Allocation'!$A$2:$A$109,A9,'Resource Allocation'!$D$2:$D$109,DATE(2026,9,1))</f>
        <v>65</v>
      </c>
      <c r="D9" s="4" t="n">
        <f aca="false">SUMIFS('Resource Allocation'!$E$2:$E$109,'Resource Allocation'!$A$2:$A$109,A9,'Resource Allocation'!$D$2:$D$109,DATE(2026,9,8))</f>
        <v>60</v>
      </c>
      <c r="E9" s="4" t="n">
        <f aca="false">SUMIFS('Resource Allocation'!$E$2:$E$109,'Resource Allocation'!$A$2:$A$109,A9,'Resource Allocation'!$D$2:$D$109,DATE(2026,9,15))</f>
        <v>55</v>
      </c>
      <c r="F9" s="5" t="n">
        <f aca="false">E9-B9</f>
        <v>-15</v>
      </c>
      <c r="G9" s="2" t="str">
        <f aca="false">IF(E9&gt;100,"Overallocated",IF(E9&lt;70,"Underutilized","Optimal"))</f>
        <v>Underutilized</v>
      </c>
    </row>
    <row r="10" customFormat="false" ht="15" hidden="false" customHeight="false" outlineLevel="0" collapsed="false">
      <c r="A10" s="2" t="s">
        <v>28</v>
      </c>
      <c r="B10" s="4" t="n">
        <f aca="false">SUMIFS('Resource Allocation'!$E$2:$E$109,'Resource Allocation'!$A$2:$A$109,A10,'Resource Allocation'!$D$2:$D$109,DATE(2026,8,25))</f>
        <v>80</v>
      </c>
      <c r="C10" s="4" t="n">
        <f aca="false">SUMIFS('Resource Allocation'!$E$2:$E$109,'Resource Allocation'!$A$2:$A$109,A10,'Resource Allocation'!$D$2:$D$109,DATE(2026,9,1))</f>
        <v>85</v>
      </c>
      <c r="D10" s="4" t="n">
        <f aca="false">SUMIFS('Resource Allocation'!$E$2:$E$109,'Resource Allocation'!$A$2:$A$109,A10,'Resource Allocation'!$D$2:$D$109,DATE(2026,9,8))</f>
        <v>90</v>
      </c>
      <c r="E10" s="4" t="n">
        <f aca="false">SUMIFS('Resource Allocation'!$E$2:$E$109,'Resource Allocation'!$A$2:$A$109,A10,'Resource Allocation'!$D$2:$D$109,DATE(2026,9,15))</f>
        <v>95</v>
      </c>
      <c r="F10" s="5" t="n">
        <f aca="false">E10-B10</f>
        <v>15</v>
      </c>
      <c r="G10" s="2" t="str">
        <f aca="false">IF(E10&gt;100,"Overallocated",IF(E10&lt;70,"Underutilized","Optimal"))</f>
        <v>Optimal</v>
      </c>
    </row>
    <row r="11" customFormat="false" ht="15" hidden="false" customHeight="false" outlineLevel="0" collapsed="false">
      <c r="A11" s="2" t="s">
        <v>29</v>
      </c>
      <c r="B11" s="4" t="n">
        <f aca="false">SUMIFS('Resource Allocation'!$E$2:$E$109,'Resource Allocation'!$A$2:$A$109,A11,'Resource Allocation'!$D$2:$D$109,DATE(2026,8,25))</f>
        <v>80</v>
      </c>
      <c r="C11" s="4" t="n">
        <f aca="false">SUMIFS('Resource Allocation'!$E$2:$E$109,'Resource Allocation'!$A$2:$A$109,A11,'Resource Allocation'!$D$2:$D$109,DATE(2026,9,1))</f>
        <v>80</v>
      </c>
      <c r="D11" s="4" t="n">
        <f aca="false">SUMIFS('Resource Allocation'!$E$2:$E$109,'Resource Allocation'!$A$2:$A$109,A11,'Resource Allocation'!$D$2:$D$109,DATE(2026,9,8))</f>
        <v>80</v>
      </c>
      <c r="E11" s="4" t="n">
        <f aca="false">SUMIFS('Resource Allocation'!$E$2:$E$109,'Resource Allocation'!$A$2:$A$109,A11,'Resource Allocation'!$D$2:$D$109,DATE(2026,9,15))</f>
        <v>95</v>
      </c>
      <c r="F11" s="5" t="n">
        <f aca="false">E11-B11</f>
        <v>15</v>
      </c>
      <c r="G11" s="2" t="str">
        <f aca="false">IF(E11&gt;100,"Overallocated",IF(E11&lt;70,"Underutilized","Optimal"))</f>
        <v>Optimal</v>
      </c>
    </row>
    <row r="12" customFormat="false" ht="15" hidden="false" customHeight="false" outlineLevel="0" collapsed="false">
      <c r="A12" s="2" t="s">
        <v>30</v>
      </c>
      <c r="B12" s="4" t="n">
        <f aca="false">SUMIFS('Resource Allocation'!$E$2:$E$109,'Resource Allocation'!$A$2:$A$109,A12,'Resource Allocation'!$D$2:$D$109,DATE(2026,8,25))</f>
        <v>70</v>
      </c>
      <c r="C12" s="4" t="n">
        <f aca="false">SUMIFS('Resource Allocation'!$E$2:$E$109,'Resource Allocation'!$A$2:$A$109,A12,'Resource Allocation'!$D$2:$D$109,DATE(2026,9,1))</f>
        <v>75</v>
      </c>
      <c r="D12" s="4" t="n">
        <f aca="false">SUMIFS('Resource Allocation'!$E$2:$E$109,'Resource Allocation'!$A$2:$A$109,A12,'Resource Allocation'!$D$2:$D$109,DATE(2026,9,8))</f>
        <v>80</v>
      </c>
      <c r="E12" s="4" t="n">
        <f aca="false">SUMIFS('Resource Allocation'!$E$2:$E$109,'Resource Allocation'!$A$2:$A$109,A12,'Resource Allocation'!$D$2:$D$109,DATE(2026,9,15))</f>
        <v>85</v>
      </c>
      <c r="F12" s="5" t="n">
        <f aca="false">E12-B12</f>
        <v>15</v>
      </c>
      <c r="G12" s="2" t="str">
        <f aca="false">IF(E12&gt;100,"Overallocated",IF(E12&lt;70,"Underutilized","Optimal"))</f>
        <v>Optimal</v>
      </c>
    </row>
    <row r="13" customFormat="false" ht="15" hidden="false" customHeight="false" outlineLevel="0" collapsed="false">
      <c r="A13" s="2" t="s">
        <v>31</v>
      </c>
      <c r="B13" s="4" t="n">
        <f aca="false">SUMIFS('Resource Allocation'!$E$2:$E$109,'Resource Allocation'!$A$2:$A$109,A13,'Resource Allocation'!$D$2:$D$109,DATE(2026,8,25))</f>
        <v>60</v>
      </c>
      <c r="C13" s="4" t="n">
        <f aca="false">SUMIFS('Resource Allocation'!$E$2:$E$109,'Resource Allocation'!$A$2:$A$109,A13,'Resource Allocation'!$D$2:$D$109,DATE(2026,9,1))</f>
        <v>65</v>
      </c>
      <c r="D13" s="4" t="n">
        <f aca="false">SUMIFS('Resource Allocation'!$E$2:$E$109,'Resource Allocation'!$A$2:$A$109,A13,'Resource Allocation'!$D$2:$D$109,DATE(2026,9,8))</f>
        <v>70</v>
      </c>
      <c r="E13" s="4" t="n">
        <f aca="false">SUMIFS('Resource Allocation'!$E$2:$E$109,'Resource Allocation'!$A$2:$A$109,A13,'Resource Allocation'!$D$2:$D$109,DATE(2026,9,15))</f>
        <v>75</v>
      </c>
      <c r="F13" s="5" t="n">
        <f aca="false">E13-B13</f>
        <v>15</v>
      </c>
      <c r="G13" s="2" t="str">
        <f aca="false">IF(E13&gt;100,"Overallocated",IF(E13&lt;70,"Underutilized","Optimal"))</f>
        <v>Optimal</v>
      </c>
    </row>
    <row r="15" customFormat="false" ht="15" hidden="false" customHeight="false" outlineLevel="0" collapsed="false">
      <c r="A15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34"/>
    <col collapsed="false" customWidth="true" hidden="false" outlineLevel="0" max="14" min="14" style="0" width="22"/>
    <col collapsed="false" customWidth="true" hidden="false" outlineLevel="0" max="15" min="15" style="0" width="14"/>
  </cols>
  <sheetData>
    <row r="1" customFormat="false" ht="26.85" hidden="false" customHeight="false" outlineLevel="0" collapsed="false">
      <c r="A1" s="1" t="s">
        <v>2</v>
      </c>
      <c r="B1" s="1" t="s">
        <v>39</v>
      </c>
      <c r="C1" s="1" t="s">
        <v>40</v>
      </c>
      <c r="D1" s="1" t="s">
        <v>3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</row>
    <row r="2" customFormat="false" ht="15" hidden="false" customHeight="false" outlineLevel="0" collapsed="false">
      <c r="A2" s="2" t="s">
        <v>8</v>
      </c>
      <c r="B2" s="2" t="s">
        <v>18</v>
      </c>
      <c r="C2" s="2" t="s">
        <v>52</v>
      </c>
      <c r="D2" s="3" t="n">
        <v>46259</v>
      </c>
      <c r="E2" s="4" t="n">
        <v>40</v>
      </c>
      <c r="F2" s="7" t="s">
        <v>53</v>
      </c>
      <c r="G2" s="8" t="n">
        <v>8500000</v>
      </c>
      <c r="H2" s="8" t="n">
        <v>3000000</v>
      </c>
      <c r="I2" s="8" t="n">
        <f aca="false">G2*E2/100</f>
        <v>3400000</v>
      </c>
      <c r="J2" s="9" t="n">
        <f aca="false">(H2-I2)/I2</f>
        <v>-0.117647058823529</v>
      </c>
      <c r="K2" s="2" t="n">
        <f aca="false">COUNTIFS('RAID Log'!$D$2:$D$24,A2,'RAID Log'!$B$2:$B$24,"Risk",'RAID Log'!$G$2:$G$24,"High",'RAID Log'!$I$2:$I$24,"Open")</f>
        <v>1</v>
      </c>
      <c r="L2" s="8" t="n">
        <f aca="false">SUMIFS('RAID Log'!$H$2:$H$24,'RAID Log'!$D$2:$D$24,A2,'RAID Log'!$G$2:$G$24,"High",'RAID Log'!$I$2:$I$24,"Open")</f>
        <v>450000</v>
      </c>
      <c r="M2" s="2" t="s">
        <v>54</v>
      </c>
      <c r="N2" s="2" t="s">
        <v>55</v>
      </c>
      <c r="O2" s="2" t="s">
        <v>56</v>
      </c>
    </row>
    <row r="3" customFormat="false" ht="15" hidden="false" customHeight="false" outlineLevel="0" collapsed="false">
      <c r="A3" s="2" t="s">
        <v>8</v>
      </c>
      <c r="B3" s="2" t="s">
        <v>18</v>
      </c>
      <c r="C3" s="2" t="s">
        <v>52</v>
      </c>
      <c r="D3" s="3" t="n">
        <v>46266</v>
      </c>
      <c r="E3" s="4" t="n">
        <v>45</v>
      </c>
      <c r="F3" s="7" t="s">
        <v>53</v>
      </c>
      <c r="G3" s="8" t="n">
        <v>8500000</v>
      </c>
      <c r="H3" s="8" t="n">
        <v>3600000</v>
      </c>
      <c r="I3" s="8" t="n">
        <f aca="false">G3*E3/100</f>
        <v>3825000</v>
      </c>
      <c r="J3" s="9" t="n">
        <f aca="false">(H3-I3)/I3</f>
        <v>-0.0588235294117647</v>
      </c>
      <c r="K3" s="2" t="n">
        <f aca="false">COUNTIFS('RAID Log'!$D$2:$D$24,A3,'RAID Log'!$B$2:$B$24,"Risk",'RAID Log'!$G$2:$G$24,"High",'RAID Log'!$I$2:$I$24,"Open")</f>
        <v>1</v>
      </c>
      <c r="L3" s="8" t="n">
        <f aca="false">SUMIFS('RAID Log'!$H$2:$H$24,'RAID Log'!$D$2:$D$24,A3,'RAID Log'!$G$2:$G$24,"High",'RAID Log'!$I$2:$I$24,"Open")</f>
        <v>450000</v>
      </c>
      <c r="M3" s="2" t="s">
        <v>54</v>
      </c>
      <c r="N3" s="2" t="s">
        <v>55</v>
      </c>
      <c r="O3" s="2" t="s">
        <v>56</v>
      </c>
    </row>
    <row r="4" customFormat="false" ht="15" hidden="false" customHeight="false" outlineLevel="0" collapsed="false">
      <c r="A4" s="2" t="s">
        <v>8</v>
      </c>
      <c r="B4" s="2" t="s">
        <v>18</v>
      </c>
      <c r="C4" s="2" t="s">
        <v>52</v>
      </c>
      <c r="D4" s="3" t="n">
        <v>46273</v>
      </c>
      <c r="E4" s="4" t="n">
        <v>50</v>
      </c>
      <c r="F4" s="7" t="s">
        <v>53</v>
      </c>
      <c r="G4" s="8" t="n">
        <v>8500000</v>
      </c>
      <c r="H4" s="8" t="n">
        <v>4300000</v>
      </c>
      <c r="I4" s="8" t="n">
        <f aca="false">G4*E4/100</f>
        <v>4250000</v>
      </c>
      <c r="J4" s="9" t="n">
        <f aca="false">(H4-I4)/I4</f>
        <v>0.0117647058823529</v>
      </c>
      <c r="K4" s="2" t="n">
        <f aca="false">COUNTIFS('RAID Log'!$D$2:$D$24,A4,'RAID Log'!$B$2:$B$24,"Risk",'RAID Log'!$G$2:$G$24,"High",'RAID Log'!$I$2:$I$24,"Open")</f>
        <v>1</v>
      </c>
      <c r="L4" s="8" t="n">
        <f aca="false">SUMIFS('RAID Log'!$H$2:$H$24,'RAID Log'!$D$2:$D$24,A4,'RAID Log'!$G$2:$G$24,"High",'RAID Log'!$I$2:$I$24,"Open")</f>
        <v>450000</v>
      </c>
      <c r="M4" s="2" t="s">
        <v>54</v>
      </c>
      <c r="N4" s="2" t="s">
        <v>55</v>
      </c>
      <c r="O4" s="2" t="s">
        <v>56</v>
      </c>
    </row>
    <row r="5" customFormat="false" ht="15" hidden="false" customHeight="false" outlineLevel="0" collapsed="false">
      <c r="A5" s="2" t="s">
        <v>8</v>
      </c>
      <c r="B5" s="2" t="s">
        <v>18</v>
      </c>
      <c r="C5" s="2" t="s">
        <v>52</v>
      </c>
      <c r="D5" s="3" t="n">
        <v>46280</v>
      </c>
      <c r="E5" s="4" t="n">
        <v>55</v>
      </c>
      <c r="F5" s="7" t="s">
        <v>53</v>
      </c>
      <c r="G5" s="8" t="n">
        <v>8500000</v>
      </c>
      <c r="H5" s="8" t="n">
        <v>5100000</v>
      </c>
      <c r="I5" s="8" t="n">
        <f aca="false">G5*E5/100</f>
        <v>4675000</v>
      </c>
      <c r="J5" s="9" t="n">
        <f aca="false">(H5-I5)/I5</f>
        <v>0.0909090909090909</v>
      </c>
      <c r="K5" s="2" t="n">
        <f aca="false">COUNTIFS('RAID Log'!$D$2:$D$24,A5,'RAID Log'!$B$2:$B$24,"Risk",'RAID Log'!$G$2:$G$24,"High",'RAID Log'!$I$2:$I$24,"Open")</f>
        <v>1</v>
      </c>
      <c r="L5" s="8" t="n">
        <f aca="false">SUMIFS('RAID Log'!$H$2:$H$24,'RAID Log'!$D$2:$D$24,A5,'RAID Log'!$G$2:$G$24,"High",'RAID Log'!$I$2:$I$24,"Open")</f>
        <v>450000</v>
      </c>
      <c r="M5" s="2" t="s">
        <v>54</v>
      </c>
      <c r="N5" s="2" t="s">
        <v>55</v>
      </c>
      <c r="O5" s="2" t="s">
        <v>56</v>
      </c>
    </row>
    <row r="6" customFormat="false" ht="15" hidden="false" customHeight="false" outlineLevel="0" collapsed="false">
      <c r="A6" s="2" t="s">
        <v>10</v>
      </c>
      <c r="B6" s="2" t="s">
        <v>18</v>
      </c>
      <c r="C6" s="2" t="s">
        <v>57</v>
      </c>
      <c r="D6" s="3" t="n">
        <v>46259</v>
      </c>
      <c r="E6" s="4" t="n">
        <v>65</v>
      </c>
      <c r="F6" s="10" t="s">
        <v>58</v>
      </c>
      <c r="G6" s="8" t="n">
        <v>3200000</v>
      </c>
      <c r="H6" s="8" t="n">
        <v>1800000</v>
      </c>
      <c r="I6" s="8" t="n">
        <f aca="false">G6*E6/100</f>
        <v>2080000</v>
      </c>
      <c r="J6" s="9" t="n">
        <f aca="false">(H6-I6)/I6</f>
        <v>-0.134615384615385</v>
      </c>
      <c r="K6" s="2" t="n">
        <f aca="false">COUNTIFS('RAID Log'!$D$2:$D$24,A6,'RAID Log'!$B$2:$B$24,"Risk",'RAID Log'!$G$2:$G$24,"High",'RAID Log'!$I$2:$I$24,"Open")</f>
        <v>0</v>
      </c>
      <c r="L6" s="8" t="n">
        <f aca="false">SUMIFS('RAID Log'!$H$2:$H$24,'RAID Log'!$D$2:$D$24,A6,'RAID Log'!$G$2:$G$24,"High",'RAID Log'!$I$2:$I$24,"Open")</f>
        <v>0</v>
      </c>
      <c r="M6" s="2" t="s">
        <v>59</v>
      </c>
      <c r="N6" s="2" t="s">
        <v>60</v>
      </c>
      <c r="O6" s="2" t="s">
        <v>61</v>
      </c>
    </row>
    <row r="7" customFormat="false" ht="15" hidden="false" customHeight="false" outlineLevel="0" collapsed="false">
      <c r="A7" s="2" t="s">
        <v>10</v>
      </c>
      <c r="B7" s="2" t="s">
        <v>18</v>
      </c>
      <c r="C7" s="2" t="s">
        <v>57</v>
      </c>
      <c r="D7" s="3" t="n">
        <v>46266</v>
      </c>
      <c r="E7" s="4" t="n">
        <v>70</v>
      </c>
      <c r="F7" s="10" t="s">
        <v>58</v>
      </c>
      <c r="G7" s="8" t="n">
        <v>3200000</v>
      </c>
      <c r="H7" s="8" t="n">
        <v>2100000</v>
      </c>
      <c r="I7" s="8" t="n">
        <f aca="false">G7*E7/100</f>
        <v>2240000</v>
      </c>
      <c r="J7" s="9" t="n">
        <f aca="false">(H7-I7)/I7</f>
        <v>-0.0625</v>
      </c>
      <c r="K7" s="2" t="n">
        <f aca="false">COUNTIFS('RAID Log'!$D$2:$D$24,A7,'RAID Log'!$B$2:$B$24,"Risk",'RAID Log'!$G$2:$G$24,"High",'RAID Log'!$I$2:$I$24,"Open")</f>
        <v>0</v>
      </c>
      <c r="L7" s="8" t="n">
        <f aca="false">SUMIFS('RAID Log'!$H$2:$H$24,'RAID Log'!$D$2:$D$24,A7,'RAID Log'!$G$2:$G$24,"High",'RAID Log'!$I$2:$I$24,"Open")</f>
        <v>0</v>
      </c>
      <c r="M7" s="2" t="s">
        <v>59</v>
      </c>
      <c r="N7" s="2" t="s">
        <v>60</v>
      </c>
      <c r="O7" s="2" t="s">
        <v>61</v>
      </c>
    </row>
    <row r="8" customFormat="false" ht="15" hidden="false" customHeight="false" outlineLevel="0" collapsed="false">
      <c r="A8" s="2" t="s">
        <v>10</v>
      </c>
      <c r="B8" s="2" t="s">
        <v>18</v>
      </c>
      <c r="C8" s="2" t="s">
        <v>57</v>
      </c>
      <c r="D8" s="3" t="n">
        <v>46273</v>
      </c>
      <c r="E8" s="4" t="n">
        <v>75</v>
      </c>
      <c r="F8" s="10" t="s">
        <v>58</v>
      </c>
      <c r="G8" s="8" t="n">
        <v>3200000</v>
      </c>
      <c r="H8" s="8" t="n">
        <v>2450000</v>
      </c>
      <c r="I8" s="8" t="n">
        <f aca="false">G8*E8/100</f>
        <v>2400000</v>
      </c>
      <c r="J8" s="9" t="n">
        <f aca="false">(H8-I8)/I8</f>
        <v>0.0208333333333333</v>
      </c>
      <c r="K8" s="2" t="n">
        <f aca="false">COUNTIFS('RAID Log'!$D$2:$D$24,A8,'RAID Log'!$B$2:$B$24,"Risk",'RAID Log'!$G$2:$G$24,"High",'RAID Log'!$I$2:$I$24,"Open")</f>
        <v>0</v>
      </c>
      <c r="L8" s="8" t="n">
        <f aca="false">SUMIFS('RAID Log'!$H$2:$H$24,'RAID Log'!$D$2:$D$24,A8,'RAID Log'!$G$2:$G$24,"High",'RAID Log'!$I$2:$I$24,"Open")</f>
        <v>0</v>
      </c>
      <c r="M8" s="2" t="s">
        <v>59</v>
      </c>
      <c r="N8" s="2" t="s">
        <v>60</v>
      </c>
      <c r="O8" s="2" t="s">
        <v>61</v>
      </c>
    </row>
    <row r="9" customFormat="false" ht="15" hidden="false" customHeight="false" outlineLevel="0" collapsed="false">
      <c r="A9" s="2" t="s">
        <v>10</v>
      </c>
      <c r="B9" s="2" t="s">
        <v>18</v>
      </c>
      <c r="C9" s="2" t="s">
        <v>57</v>
      </c>
      <c r="D9" s="3" t="n">
        <v>46280</v>
      </c>
      <c r="E9" s="4" t="n">
        <v>80</v>
      </c>
      <c r="F9" s="10" t="s">
        <v>58</v>
      </c>
      <c r="G9" s="8" t="n">
        <v>3200000</v>
      </c>
      <c r="H9" s="8" t="n">
        <v>2700000</v>
      </c>
      <c r="I9" s="8" t="n">
        <f aca="false">G9*E9/100</f>
        <v>2560000</v>
      </c>
      <c r="J9" s="9" t="n">
        <f aca="false">(H9-I9)/I9</f>
        <v>0.0546875</v>
      </c>
      <c r="K9" s="2" t="n">
        <f aca="false">COUNTIFS('RAID Log'!$D$2:$D$24,A9,'RAID Log'!$B$2:$B$24,"Risk",'RAID Log'!$G$2:$G$24,"High",'RAID Log'!$I$2:$I$24,"Open")</f>
        <v>0</v>
      </c>
      <c r="L9" s="8" t="n">
        <f aca="false">SUMIFS('RAID Log'!$H$2:$H$24,'RAID Log'!$D$2:$D$24,A9,'RAID Log'!$G$2:$G$24,"High",'RAID Log'!$I$2:$I$24,"Open")</f>
        <v>0</v>
      </c>
      <c r="M9" s="2" t="s">
        <v>59</v>
      </c>
      <c r="N9" s="2" t="s">
        <v>60</v>
      </c>
      <c r="O9" s="2" t="s">
        <v>61</v>
      </c>
    </row>
    <row r="10" customFormat="false" ht="23.85" hidden="false" customHeight="false" outlineLevel="0" collapsed="false">
      <c r="A10" s="2" t="s">
        <v>13</v>
      </c>
      <c r="B10" s="2" t="s">
        <v>21</v>
      </c>
      <c r="C10" s="2" t="s">
        <v>62</v>
      </c>
      <c r="D10" s="3" t="n">
        <v>46259</v>
      </c>
      <c r="E10" s="4" t="n">
        <v>15</v>
      </c>
      <c r="F10" s="7" t="s">
        <v>53</v>
      </c>
      <c r="G10" s="8" t="n">
        <v>5000000</v>
      </c>
      <c r="H10" s="8" t="n">
        <v>1200000</v>
      </c>
      <c r="I10" s="8" t="n">
        <f aca="false">G10*E10/100</f>
        <v>750000</v>
      </c>
      <c r="J10" s="9" t="n">
        <f aca="false">(H10-I10)/I10</f>
        <v>0.6</v>
      </c>
      <c r="K10" s="2" t="n">
        <f aca="false">COUNTIFS('RAID Log'!$D$2:$D$24,A10,'RAID Log'!$B$2:$B$24,"Risk",'RAID Log'!$G$2:$G$24,"High",'RAID Log'!$I$2:$I$24,"Open")</f>
        <v>2</v>
      </c>
      <c r="L10" s="8" t="n">
        <f aca="false">SUMIFS('RAID Log'!$H$2:$H$24,'RAID Log'!$D$2:$D$24,A10,'RAID Log'!$G$2:$G$24,"High",'RAID Log'!$I$2:$I$24,"Open")</f>
        <v>1300000</v>
      </c>
      <c r="M10" s="2" t="s">
        <v>63</v>
      </c>
      <c r="N10" s="2" t="s">
        <v>64</v>
      </c>
      <c r="O10" s="2" t="s">
        <v>65</v>
      </c>
    </row>
    <row r="11" customFormat="false" ht="23.85" hidden="false" customHeight="false" outlineLevel="0" collapsed="false">
      <c r="A11" s="2" t="s">
        <v>13</v>
      </c>
      <c r="B11" s="2" t="s">
        <v>21</v>
      </c>
      <c r="C11" s="2" t="s">
        <v>62</v>
      </c>
      <c r="D11" s="3" t="n">
        <v>46266</v>
      </c>
      <c r="E11" s="4" t="n">
        <v>20</v>
      </c>
      <c r="F11" s="7" t="s">
        <v>53</v>
      </c>
      <c r="G11" s="8" t="n">
        <v>5000000</v>
      </c>
      <c r="H11" s="8" t="n">
        <v>1900000</v>
      </c>
      <c r="I11" s="8" t="n">
        <f aca="false">G11*E11/100</f>
        <v>1000000</v>
      </c>
      <c r="J11" s="9" t="n">
        <f aca="false">(H11-I11)/I11</f>
        <v>0.9</v>
      </c>
      <c r="K11" s="2" t="n">
        <f aca="false">COUNTIFS('RAID Log'!$D$2:$D$24,A11,'RAID Log'!$B$2:$B$24,"Risk",'RAID Log'!$G$2:$G$24,"High",'RAID Log'!$I$2:$I$24,"Open")</f>
        <v>2</v>
      </c>
      <c r="L11" s="8" t="n">
        <f aca="false">SUMIFS('RAID Log'!$H$2:$H$24,'RAID Log'!$D$2:$D$24,A11,'RAID Log'!$G$2:$G$24,"High",'RAID Log'!$I$2:$I$24,"Open")</f>
        <v>1300000</v>
      </c>
      <c r="M11" s="2" t="s">
        <v>63</v>
      </c>
      <c r="N11" s="2" t="s">
        <v>64</v>
      </c>
      <c r="O11" s="2" t="s">
        <v>65</v>
      </c>
    </row>
    <row r="12" customFormat="false" ht="23.85" hidden="false" customHeight="false" outlineLevel="0" collapsed="false">
      <c r="A12" s="2" t="s">
        <v>13</v>
      </c>
      <c r="B12" s="2" t="s">
        <v>21</v>
      </c>
      <c r="C12" s="2" t="s">
        <v>62</v>
      </c>
      <c r="D12" s="3" t="n">
        <v>46273</v>
      </c>
      <c r="E12" s="4" t="n">
        <v>25</v>
      </c>
      <c r="F12" s="11" t="s">
        <v>66</v>
      </c>
      <c r="G12" s="8" t="n">
        <v>5000000</v>
      </c>
      <c r="H12" s="8" t="n">
        <v>2800000</v>
      </c>
      <c r="I12" s="8" t="n">
        <f aca="false">G12*E12/100</f>
        <v>1250000</v>
      </c>
      <c r="J12" s="9" t="n">
        <f aca="false">(H12-I12)/I12</f>
        <v>1.24</v>
      </c>
      <c r="K12" s="2" t="n">
        <f aca="false">COUNTIFS('RAID Log'!$D$2:$D$24,A12,'RAID Log'!$B$2:$B$24,"Risk",'RAID Log'!$G$2:$G$24,"High",'RAID Log'!$I$2:$I$24,"Open")</f>
        <v>2</v>
      </c>
      <c r="L12" s="8" t="n">
        <f aca="false">SUMIFS('RAID Log'!$H$2:$H$24,'RAID Log'!$D$2:$D$24,A12,'RAID Log'!$G$2:$G$24,"High",'RAID Log'!$I$2:$I$24,"Open")</f>
        <v>1300000</v>
      </c>
      <c r="M12" s="2" t="s">
        <v>63</v>
      </c>
      <c r="N12" s="2" t="s">
        <v>64</v>
      </c>
      <c r="O12" s="2" t="s">
        <v>65</v>
      </c>
    </row>
    <row r="13" customFormat="false" ht="23.85" hidden="false" customHeight="false" outlineLevel="0" collapsed="false">
      <c r="A13" s="2" t="s">
        <v>13</v>
      </c>
      <c r="B13" s="2" t="s">
        <v>21</v>
      </c>
      <c r="C13" s="2" t="s">
        <v>62</v>
      </c>
      <c r="D13" s="3" t="n">
        <v>46280</v>
      </c>
      <c r="E13" s="4" t="n">
        <v>30</v>
      </c>
      <c r="F13" s="11" t="s">
        <v>66</v>
      </c>
      <c r="G13" s="8" t="n">
        <v>5000000</v>
      </c>
      <c r="H13" s="8" t="n">
        <v>3900000</v>
      </c>
      <c r="I13" s="8" t="n">
        <f aca="false">G13*E13/100</f>
        <v>1500000</v>
      </c>
      <c r="J13" s="9" t="n">
        <f aca="false">(H13-I13)/I13</f>
        <v>1.6</v>
      </c>
      <c r="K13" s="2" t="n">
        <f aca="false">COUNTIFS('RAID Log'!$D$2:$D$24,A13,'RAID Log'!$B$2:$B$24,"Risk",'RAID Log'!$G$2:$G$24,"High",'RAID Log'!$I$2:$I$24,"Open")</f>
        <v>2</v>
      </c>
      <c r="L13" s="8" t="n">
        <f aca="false">SUMIFS('RAID Log'!$H$2:$H$24,'RAID Log'!$D$2:$D$24,A13,'RAID Log'!$G$2:$G$24,"High",'RAID Log'!$I$2:$I$24,"Open")</f>
        <v>1300000</v>
      </c>
      <c r="M13" s="2" t="s">
        <v>63</v>
      </c>
      <c r="N13" s="2" t="s">
        <v>64</v>
      </c>
      <c r="O13" s="2" t="s">
        <v>65</v>
      </c>
    </row>
    <row r="14" customFormat="false" ht="15" hidden="false" customHeight="false" outlineLevel="0" collapsed="false">
      <c r="A14" s="2" t="s">
        <v>14</v>
      </c>
      <c r="B14" s="2" t="s">
        <v>21</v>
      </c>
      <c r="C14" s="2" t="s">
        <v>67</v>
      </c>
      <c r="D14" s="3" t="n">
        <v>46259</v>
      </c>
      <c r="E14" s="4" t="n">
        <v>50</v>
      </c>
      <c r="F14" s="7" t="s">
        <v>53</v>
      </c>
      <c r="G14" s="8" t="n">
        <v>4000000</v>
      </c>
      <c r="H14" s="8" t="n">
        <v>1600000</v>
      </c>
      <c r="I14" s="8" t="n">
        <f aca="false">G14*E14/100</f>
        <v>2000000</v>
      </c>
      <c r="J14" s="9" t="n">
        <f aca="false">(H14-I14)/I14</f>
        <v>-0.2</v>
      </c>
      <c r="K14" s="2" t="n">
        <f aca="false">COUNTIFS('RAID Log'!$D$2:$D$24,A14,'RAID Log'!$B$2:$B$24,"Risk",'RAID Log'!$G$2:$G$24,"High",'RAID Log'!$I$2:$I$24,"Open")</f>
        <v>1</v>
      </c>
      <c r="L14" s="8" t="n">
        <f aca="false">SUMIFS('RAID Log'!$H$2:$H$24,'RAID Log'!$D$2:$D$24,A14,'RAID Log'!$G$2:$G$24,"High",'RAID Log'!$I$2:$I$24,"Open")</f>
        <v>350000</v>
      </c>
      <c r="M14" s="2" t="s">
        <v>68</v>
      </c>
      <c r="N14" s="2" t="s">
        <v>69</v>
      </c>
      <c r="O14" s="2" t="s">
        <v>70</v>
      </c>
    </row>
    <row r="15" customFormat="false" ht="15" hidden="false" customHeight="false" outlineLevel="0" collapsed="false">
      <c r="A15" s="2" t="s">
        <v>14</v>
      </c>
      <c r="B15" s="2" t="s">
        <v>21</v>
      </c>
      <c r="C15" s="2" t="s">
        <v>67</v>
      </c>
      <c r="D15" s="3" t="n">
        <v>46266</v>
      </c>
      <c r="E15" s="4" t="n">
        <v>55</v>
      </c>
      <c r="F15" s="7" t="s">
        <v>53</v>
      </c>
      <c r="G15" s="8" t="n">
        <v>4000000</v>
      </c>
      <c r="H15" s="8" t="n">
        <v>2000000</v>
      </c>
      <c r="I15" s="8" t="n">
        <f aca="false">G15*E15/100</f>
        <v>2200000</v>
      </c>
      <c r="J15" s="9" t="n">
        <f aca="false">(H15-I15)/I15</f>
        <v>-0.0909090909090909</v>
      </c>
      <c r="K15" s="2" t="n">
        <f aca="false">COUNTIFS('RAID Log'!$D$2:$D$24,A15,'RAID Log'!$B$2:$B$24,"Risk",'RAID Log'!$G$2:$G$24,"High",'RAID Log'!$I$2:$I$24,"Open")</f>
        <v>1</v>
      </c>
      <c r="L15" s="8" t="n">
        <f aca="false">SUMIFS('RAID Log'!$H$2:$H$24,'RAID Log'!$D$2:$D$24,A15,'RAID Log'!$G$2:$G$24,"High",'RAID Log'!$I$2:$I$24,"Open")</f>
        <v>350000</v>
      </c>
      <c r="M15" s="2" t="s">
        <v>68</v>
      </c>
      <c r="N15" s="2" t="s">
        <v>69</v>
      </c>
      <c r="O15" s="2" t="s">
        <v>70</v>
      </c>
    </row>
    <row r="16" customFormat="false" ht="15" hidden="false" customHeight="false" outlineLevel="0" collapsed="false">
      <c r="A16" s="2" t="s">
        <v>14</v>
      </c>
      <c r="B16" s="2" t="s">
        <v>21</v>
      </c>
      <c r="C16" s="2" t="s">
        <v>67</v>
      </c>
      <c r="D16" s="3" t="n">
        <v>46273</v>
      </c>
      <c r="E16" s="4" t="n">
        <v>60</v>
      </c>
      <c r="F16" s="7" t="s">
        <v>53</v>
      </c>
      <c r="G16" s="8" t="n">
        <v>4000000</v>
      </c>
      <c r="H16" s="8" t="n">
        <v>2450000</v>
      </c>
      <c r="I16" s="8" t="n">
        <f aca="false">G16*E16/100</f>
        <v>2400000</v>
      </c>
      <c r="J16" s="9" t="n">
        <f aca="false">(H16-I16)/I16</f>
        <v>0.0208333333333333</v>
      </c>
      <c r="K16" s="2" t="n">
        <f aca="false">COUNTIFS('RAID Log'!$D$2:$D$24,A16,'RAID Log'!$B$2:$B$24,"Risk",'RAID Log'!$G$2:$G$24,"High",'RAID Log'!$I$2:$I$24,"Open")</f>
        <v>1</v>
      </c>
      <c r="L16" s="8" t="n">
        <f aca="false">SUMIFS('RAID Log'!$H$2:$H$24,'RAID Log'!$D$2:$D$24,A16,'RAID Log'!$G$2:$G$24,"High",'RAID Log'!$I$2:$I$24,"Open")</f>
        <v>350000</v>
      </c>
      <c r="M16" s="2" t="s">
        <v>68</v>
      </c>
      <c r="N16" s="2" t="s">
        <v>69</v>
      </c>
      <c r="O16" s="2" t="s">
        <v>70</v>
      </c>
    </row>
    <row r="17" customFormat="false" ht="15" hidden="false" customHeight="false" outlineLevel="0" collapsed="false">
      <c r="A17" s="2" t="s">
        <v>14</v>
      </c>
      <c r="B17" s="2" t="s">
        <v>21</v>
      </c>
      <c r="C17" s="2" t="s">
        <v>67</v>
      </c>
      <c r="D17" s="3" t="n">
        <v>46280</v>
      </c>
      <c r="E17" s="4" t="n">
        <v>65</v>
      </c>
      <c r="F17" s="7" t="s">
        <v>53</v>
      </c>
      <c r="G17" s="8" t="n">
        <v>4000000</v>
      </c>
      <c r="H17" s="8" t="n">
        <v>2900000</v>
      </c>
      <c r="I17" s="8" t="n">
        <f aca="false">G17*E17/100</f>
        <v>2600000</v>
      </c>
      <c r="J17" s="9" t="n">
        <f aca="false">(H17-I17)/I17</f>
        <v>0.115384615384615</v>
      </c>
      <c r="K17" s="2" t="n">
        <f aca="false">COUNTIFS('RAID Log'!$D$2:$D$24,A17,'RAID Log'!$B$2:$B$24,"Risk",'RAID Log'!$G$2:$G$24,"High",'RAID Log'!$I$2:$I$24,"Open")</f>
        <v>1</v>
      </c>
      <c r="L17" s="8" t="n">
        <f aca="false">SUMIFS('RAID Log'!$H$2:$H$24,'RAID Log'!$D$2:$D$24,A17,'RAID Log'!$G$2:$G$24,"High",'RAID Log'!$I$2:$I$24,"Open")</f>
        <v>350000</v>
      </c>
      <c r="M17" s="2" t="s">
        <v>68</v>
      </c>
      <c r="N17" s="2" t="s">
        <v>69</v>
      </c>
      <c r="O17" s="2" t="s">
        <v>70</v>
      </c>
    </row>
    <row r="18" customFormat="false" ht="15" hidden="false" customHeight="false" outlineLevel="0" collapsed="false">
      <c r="A18" s="2" t="s">
        <v>26</v>
      </c>
      <c r="B18" s="2" t="s">
        <v>27</v>
      </c>
      <c r="C18" s="2" t="s">
        <v>71</v>
      </c>
      <c r="D18" s="3" t="n">
        <v>46259</v>
      </c>
      <c r="E18" s="4" t="n">
        <v>75</v>
      </c>
      <c r="F18" s="10" t="s">
        <v>58</v>
      </c>
      <c r="G18" s="8" t="n">
        <v>2800000</v>
      </c>
      <c r="H18" s="8" t="n">
        <v>1900000</v>
      </c>
      <c r="I18" s="8" t="n">
        <f aca="false">G18*E18/100</f>
        <v>2100000</v>
      </c>
      <c r="J18" s="9" t="n">
        <f aca="false">(H18-I18)/I18</f>
        <v>-0.0952380952380952</v>
      </c>
      <c r="K18" s="2" t="n">
        <f aca="false">COUNTIFS('RAID Log'!$D$2:$D$24,A18,'RAID Log'!$B$2:$B$24,"Risk",'RAID Log'!$G$2:$G$24,"High",'RAID Log'!$I$2:$I$24,"Open")</f>
        <v>0</v>
      </c>
      <c r="L18" s="8" t="n">
        <f aca="false">SUMIFS('RAID Log'!$H$2:$H$24,'RAID Log'!$D$2:$D$24,A18,'RAID Log'!$G$2:$G$24,"High",'RAID Log'!$I$2:$I$24,"Open")</f>
        <v>0</v>
      </c>
      <c r="M18" s="2" t="s">
        <v>59</v>
      </c>
      <c r="N18" s="2" t="s">
        <v>72</v>
      </c>
      <c r="O18" s="2" t="s">
        <v>73</v>
      </c>
    </row>
    <row r="19" customFormat="false" ht="15" hidden="false" customHeight="false" outlineLevel="0" collapsed="false">
      <c r="A19" s="2" t="s">
        <v>26</v>
      </c>
      <c r="B19" s="2" t="s">
        <v>27</v>
      </c>
      <c r="C19" s="2" t="s">
        <v>71</v>
      </c>
      <c r="D19" s="3" t="n">
        <v>46266</v>
      </c>
      <c r="E19" s="4" t="n">
        <v>80</v>
      </c>
      <c r="F19" s="10" t="s">
        <v>58</v>
      </c>
      <c r="G19" s="8" t="n">
        <v>2800000</v>
      </c>
      <c r="H19" s="8" t="n">
        <v>2050000</v>
      </c>
      <c r="I19" s="8" t="n">
        <f aca="false">G19*E19/100</f>
        <v>2240000</v>
      </c>
      <c r="J19" s="9" t="n">
        <f aca="false">(H19-I19)/I19</f>
        <v>-0.0848214285714286</v>
      </c>
      <c r="K19" s="2" t="n">
        <f aca="false">COUNTIFS('RAID Log'!$D$2:$D$24,A19,'RAID Log'!$B$2:$B$24,"Risk",'RAID Log'!$G$2:$G$24,"High",'RAID Log'!$I$2:$I$24,"Open")</f>
        <v>0</v>
      </c>
      <c r="L19" s="8" t="n">
        <f aca="false">SUMIFS('RAID Log'!$H$2:$H$24,'RAID Log'!$D$2:$D$24,A19,'RAID Log'!$G$2:$G$24,"High",'RAID Log'!$I$2:$I$24,"Open")</f>
        <v>0</v>
      </c>
      <c r="M19" s="2" t="s">
        <v>59</v>
      </c>
      <c r="N19" s="2" t="s">
        <v>72</v>
      </c>
      <c r="O19" s="2" t="s">
        <v>73</v>
      </c>
    </row>
    <row r="20" customFormat="false" ht="15" hidden="false" customHeight="false" outlineLevel="0" collapsed="false">
      <c r="A20" s="2" t="s">
        <v>26</v>
      </c>
      <c r="B20" s="2" t="s">
        <v>27</v>
      </c>
      <c r="C20" s="2" t="s">
        <v>71</v>
      </c>
      <c r="D20" s="3" t="n">
        <v>46273</v>
      </c>
      <c r="E20" s="4" t="n">
        <v>85</v>
      </c>
      <c r="F20" s="10" t="s">
        <v>58</v>
      </c>
      <c r="G20" s="8" t="n">
        <v>2800000</v>
      </c>
      <c r="H20" s="8" t="n">
        <v>2200000</v>
      </c>
      <c r="I20" s="8" t="n">
        <f aca="false">G20*E20/100</f>
        <v>2380000</v>
      </c>
      <c r="J20" s="9" t="n">
        <f aca="false">(H20-I20)/I20</f>
        <v>-0.0756302521008403</v>
      </c>
      <c r="K20" s="2" t="n">
        <f aca="false">COUNTIFS('RAID Log'!$D$2:$D$24,A20,'RAID Log'!$B$2:$B$24,"Risk",'RAID Log'!$G$2:$G$24,"High",'RAID Log'!$I$2:$I$24,"Open")</f>
        <v>0</v>
      </c>
      <c r="L20" s="8" t="n">
        <f aca="false">SUMIFS('RAID Log'!$H$2:$H$24,'RAID Log'!$D$2:$D$24,A20,'RAID Log'!$G$2:$G$24,"High",'RAID Log'!$I$2:$I$24,"Open")</f>
        <v>0</v>
      </c>
      <c r="M20" s="2" t="s">
        <v>59</v>
      </c>
      <c r="N20" s="2" t="s">
        <v>72</v>
      </c>
      <c r="O20" s="2" t="s">
        <v>73</v>
      </c>
    </row>
    <row r="21" customFormat="false" ht="15" hidden="false" customHeight="false" outlineLevel="0" collapsed="false">
      <c r="A21" s="2" t="s">
        <v>26</v>
      </c>
      <c r="B21" s="2" t="s">
        <v>27</v>
      </c>
      <c r="C21" s="2" t="s">
        <v>71</v>
      </c>
      <c r="D21" s="3" t="n">
        <v>46280</v>
      </c>
      <c r="E21" s="4" t="n">
        <v>90</v>
      </c>
      <c r="F21" s="10" t="s">
        <v>58</v>
      </c>
      <c r="G21" s="8" t="n">
        <v>2800000</v>
      </c>
      <c r="H21" s="8" t="n">
        <v>2350000</v>
      </c>
      <c r="I21" s="8" t="n">
        <f aca="false">G21*E21/100</f>
        <v>2520000</v>
      </c>
      <c r="J21" s="9" t="n">
        <f aca="false">(H21-I21)/I21</f>
        <v>-0.0674603174603175</v>
      </c>
      <c r="K21" s="2" t="n">
        <f aca="false">COUNTIFS('RAID Log'!$D$2:$D$24,A21,'RAID Log'!$B$2:$B$24,"Risk",'RAID Log'!$G$2:$G$24,"High",'RAID Log'!$I$2:$I$24,"Open")</f>
        <v>0</v>
      </c>
      <c r="L21" s="8" t="n">
        <f aca="false">SUMIFS('RAID Log'!$H$2:$H$24,'RAID Log'!$D$2:$D$24,A21,'RAID Log'!$G$2:$G$24,"High",'RAID Log'!$I$2:$I$24,"Open")</f>
        <v>0</v>
      </c>
      <c r="M21" s="2" t="s">
        <v>59</v>
      </c>
      <c r="N21" s="2" t="s">
        <v>72</v>
      </c>
      <c r="O21" s="2" t="s">
        <v>73</v>
      </c>
    </row>
    <row r="22" customFormat="false" ht="15" hidden="false" customHeight="false" outlineLevel="0" collapsed="false">
      <c r="A22" s="2" t="s">
        <v>20</v>
      </c>
      <c r="B22" s="2" t="s">
        <v>28</v>
      </c>
      <c r="C22" s="2" t="s">
        <v>52</v>
      </c>
      <c r="D22" s="3" t="n">
        <v>46259</v>
      </c>
      <c r="E22" s="4" t="n">
        <v>20</v>
      </c>
      <c r="F22" s="7" t="s">
        <v>53</v>
      </c>
      <c r="G22" s="8" t="n">
        <v>6000000</v>
      </c>
      <c r="H22" s="8" t="n">
        <v>1500000</v>
      </c>
      <c r="I22" s="8" t="n">
        <f aca="false">G22*E22/100</f>
        <v>1200000</v>
      </c>
      <c r="J22" s="9" t="n">
        <f aca="false">(H22-I22)/I22</f>
        <v>0.25</v>
      </c>
      <c r="K22" s="2" t="n">
        <f aca="false">COUNTIFS('RAID Log'!$D$2:$D$24,A22,'RAID Log'!$B$2:$B$24,"Risk",'RAID Log'!$G$2:$G$24,"High",'RAID Log'!$I$2:$I$24,"Open")</f>
        <v>1</v>
      </c>
      <c r="L22" s="8" t="n">
        <f aca="false">SUMIFS('RAID Log'!$H$2:$H$24,'RAID Log'!$D$2:$D$24,A22,'RAID Log'!$G$2:$G$24,"High",'RAID Log'!$I$2:$I$24,"Open")</f>
        <v>500000</v>
      </c>
      <c r="M22" s="2" t="s">
        <v>74</v>
      </c>
      <c r="N22" s="2" t="s">
        <v>75</v>
      </c>
      <c r="O22" s="2" t="s">
        <v>76</v>
      </c>
    </row>
    <row r="23" customFormat="false" ht="15" hidden="false" customHeight="false" outlineLevel="0" collapsed="false">
      <c r="A23" s="2" t="s">
        <v>20</v>
      </c>
      <c r="B23" s="2" t="s">
        <v>28</v>
      </c>
      <c r="C23" s="2" t="s">
        <v>52</v>
      </c>
      <c r="D23" s="3" t="n">
        <v>46266</v>
      </c>
      <c r="E23" s="4" t="n">
        <v>30</v>
      </c>
      <c r="F23" s="7" t="s">
        <v>53</v>
      </c>
      <c r="G23" s="8" t="n">
        <v>6000000</v>
      </c>
      <c r="H23" s="8" t="n">
        <v>2200000</v>
      </c>
      <c r="I23" s="8" t="n">
        <f aca="false">G23*E23/100</f>
        <v>1800000</v>
      </c>
      <c r="J23" s="9" t="n">
        <f aca="false">(H23-I23)/I23</f>
        <v>0.222222222222222</v>
      </c>
      <c r="K23" s="2" t="n">
        <f aca="false">COUNTIFS('RAID Log'!$D$2:$D$24,A23,'RAID Log'!$B$2:$B$24,"Risk",'RAID Log'!$G$2:$G$24,"High",'RAID Log'!$I$2:$I$24,"Open")</f>
        <v>1</v>
      </c>
      <c r="L23" s="8" t="n">
        <f aca="false">SUMIFS('RAID Log'!$H$2:$H$24,'RAID Log'!$D$2:$D$24,A23,'RAID Log'!$G$2:$G$24,"High",'RAID Log'!$I$2:$I$24,"Open")</f>
        <v>500000</v>
      </c>
      <c r="M23" s="2" t="s">
        <v>74</v>
      </c>
      <c r="N23" s="2" t="s">
        <v>75</v>
      </c>
      <c r="O23" s="2" t="s">
        <v>76</v>
      </c>
    </row>
    <row r="24" customFormat="false" ht="15" hidden="false" customHeight="false" outlineLevel="0" collapsed="false">
      <c r="A24" s="2" t="s">
        <v>20</v>
      </c>
      <c r="B24" s="2" t="s">
        <v>28</v>
      </c>
      <c r="C24" s="2" t="s">
        <v>52</v>
      </c>
      <c r="D24" s="3" t="n">
        <v>46273</v>
      </c>
      <c r="E24" s="4" t="n">
        <v>40</v>
      </c>
      <c r="F24" s="7" t="s">
        <v>53</v>
      </c>
      <c r="G24" s="8" t="n">
        <v>6000000</v>
      </c>
      <c r="H24" s="8" t="n">
        <v>3000000</v>
      </c>
      <c r="I24" s="8" t="n">
        <f aca="false">G24*E24/100</f>
        <v>2400000</v>
      </c>
      <c r="J24" s="9" t="n">
        <f aca="false">(H24-I24)/I24</f>
        <v>0.25</v>
      </c>
      <c r="K24" s="2" t="n">
        <f aca="false">COUNTIFS('RAID Log'!$D$2:$D$24,A24,'RAID Log'!$B$2:$B$24,"Risk",'RAID Log'!$G$2:$G$24,"High",'RAID Log'!$I$2:$I$24,"Open")</f>
        <v>1</v>
      </c>
      <c r="L24" s="8" t="n">
        <f aca="false">SUMIFS('RAID Log'!$H$2:$H$24,'RAID Log'!$D$2:$D$24,A24,'RAID Log'!$G$2:$G$24,"High",'RAID Log'!$I$2:$I$24,"Open")</f>
        <v>500000</v>
      </c>
      <c r="M24" s="2" t="s">
        <v>74</v>
      </c>
      <c r="N24" s="2" t="s">
        <v>75</v>
      </c>
      <c r="O24" s="2" t="s">
        <v>76</v>
      </c>
    </row>
    <row r="25" customFormat="false" ht="15" hidden="false" customHeight="false" outlineLevel="0" collapsed="false">
      <c r="A25" s="2" t="s">
        <v>20</v>
      </c>
      <c r="B25" s="2" t="s">
        <v>28</v>
      </c>
      <c r="C25" s="2" t="s">
        <v>52</v>
      </c>
      <c r="D25" s="3" t="n">
        <v>46280</v>
      </c>
      <c r="E25" s="4" t="n">
        <v>50</v>
      </c>
      <c r="F25" s="10" t="s">
        <v>58</v>
      </c>
      <c r="G25" s="8" t="n">
        <v>6000000</v>
      </c>
      <c r="H25" s="8" t="n">
        <v>3800000</v>
      </c>
      <c r="I25" s="8" t="n">
        <f aca="false">G25*E25/100</f>
        <v>3000000</v>
      </c>
      <c r="J25" s="9" t="n">
        <f aca="false">(H25-I25)/I25</f>
        <v>0.266666666666667</v>
      </c>
      <c r="K25" s="2" t="n">
        <f aca="false">COUNTIFS('RAID Log'!$D$2:$D$24,A25,'RAID Log'!$B$2:$B$24,"Risk",'RAID Log'!$G$2:$G$24,"High",'RAID Log'!$I$2:$I$24,"Open")</f>
        <v>1</v>
      </c>
      <c r="L25" s="8" t="n">
        <f aca="false">SUMIFS('RAID Log'!$H$2:$H$24,'RAID Log'!$D$2:$D$24,A25,'RAID Log'!$G$2:$G$24,"High",'RAID Log'!$I$2:$I$24,"Open")</f>
        <v>500000</v>
      </c>
      <c r="M25" s="2" t="s">
        <v>74</v>
      </c>
      <c r="N25" s="2" t="s">
        <v>75</v>
      </c>
      <c r="O25" s="2" t="s">
        <v>76</v>
      </c>
    </row>
    <row r="26" customFormat="false" ht="23.85" hidden="false" customHeight="false" outlineLevel="0" collapsed="false">
      <c r="A26" s="2" t="s">
        <v>23</v>
      </c>
      <c r="B26" s="2" t="s">
        <v>29</v>
      </c>
      <c r="C26" s="2" t="s">
        <v>77</v>
      </c>
      <c r="D26" s="3" t="n">
        <v>46259</v>
      </c>
      <c r="E26" s="4" t="n">
        <v>10</v>
      </c>
      <c r="F26" s="11" t="s">
        <v>66</v>
      </c>
      <c r="G26" s="8" t="n">
        <v>3500000</v>
      </c>
      <c r="H26" s="8" t="n">
        <v>500000</v>
      </c>
      <c r="I26" s="8" t="n">
        <f aca="false">G26*E26/100</f>
        <v>350000</v>
      </c>
      <c r="J26" s="9" t="n">
        <f aca="false">(H26-I26)/I26</f>
        <v>0.428571428571429</v>
      </c>
      <c r="K26" s="2" t="n">
        <f aca="false">COUNTIFS('RAID Log'!$D$2:$D$24,A26,'RAID Log'!$B$2:$B$24,"Risk",'RAID Log'!$G$2:$G$24,"High",'RAID Log'!$I$2:$I$24,"Open")</f>
        <v>0</v>
      </c>
      <c r="L26" s="8" t="n">
        <f aca="false">SUMIFS('RAID Log'!$H$2:$H$24,'RAID Log'!$D$2:$D$24,A26,'RAID Log'!$G$2:$G$24,"High",'RAID Log'!$I$2:$I$24,"Open")</f>
        <v>0</v>
      </c>
      <c r="M26" s="2" t="s">
        <v>78</v>
      </c>
      <c r="N26" s="2" t="s">
        <v>79</v>
      </c>
      <c r="O26" s="2" t="s">
        <v>80</v>
      </c>
    </row>
    <row r="27" customFormat="false" ht="23.85" hidden="false" customHeight="false" outlineLevel="0" collapsed="false">
      <c r="A27" s="2" t="s">
        <v>23</v>
      </c>
      <c r="B27" s="2" t="s">
        <v>29</v>
      </c>
      <c r="C27" s="2" t="s">
        <v>77</v>
      </c>
      <c r="D27" s="3" t="n">
        <v>46266</v>
      </c>
      <c r="E27" s="4" t="n">
        <v>20</v>
      </c>
      <c r="F27" s="7" t="s">
        <v>53</v>
      </c>
      <c r="G27" s="8" t="n">
        <v>3500000</v>
      </c>
      <c r="H27" s="8" t="n">
        <v>1100000</v>
      </c>
      <c r="I27" s="8" t="n">
        <f aca="false">G27*E27/100</f>
        <v>700000</v>
      </c>
      <c r="J27" s="9" t="n">
        <f aca="false">(H27-I27)/I27</f>
        <v>0.571428571428571</v>
      </c>
      <c r="K27" s="2" t="n">
        <f aca="false">COUNTIFS('RAID Log'!$D$2:$D$24,A27,'RAID Log'!$B$2:$B$24,"Risk",'RAID Log'!$G$2:$G$24,"High",'RAID Log'!$I$2:$I$24,"Open")</f>
        <v>0</v>
      </c>
      <c r="L27" s="8" t="n">
        <f aca="false">SUMIFS('RAID Log'!$H$2:$H$24,'RAID Log'!$D$2:$D$24,A27,'RAID Log'!$G$2:$G$24,"High",'RAID Log'!$I$2:$I$24,"Open")</f>
        <v>0</v>
      </c>
      <c r="M27" s="2" t="s">
        <v>78</v>
      </c>
      <c r="N27" s="2" t="s">
        <v>79</v>
      </c>
      <c r="O27" s="2" t="s">
        <v>80</v>
      </c>
    </row>
    <row r="28" customFormat="false" ht="23.85" hidden="false" customHeight="false" outlineLevel="0" collapsed="false">
      <c r="A28" s="2" t="s">
        <v>23</v>
      </c>
      <c r="B28" s="2" t="s">
        <v>29</v>
      </c>
      <c r="C28" s="2" t="s">
        <v>77</v>
      </c>
      <c r="D28" s="3" t="n">
        <v>46273</v>
      </c>
      <c r="E28" s="4" t="n">
        <v>30</v>
      </c>
      <c r="F28" s="7" t="s">
        <v>53</v>
      </c>
      <c r="G28" s="8" t="n">
        <v>3500000</v>
      </c>
      <c r="H28" s="8" t="n">
        <v>1700000</v>
      </c>
      <c r="I28" s="8" t="n">
        <f aca="false">G28*E28/100</f>
        <v>1050000</v>
      </c>
      <c r="J28" s="9" t="n">
        <f aca="false">(H28-I28)/I28</f>
        <v>0.619047619047619</v>
      </c>
      <c r="K28" s="2" t="n">
        <f aca="false">COUNTIFS('RAID Log'!$D$2:$D$24,A28,'RAID Log'!$B$2:$B$24,"Risk",'RAID Log'!$G$2:$G$24,"High",'RAID Log'!$I$2:$I$24,"Open")</f>
        <v>0</v>
      </c>
      <c r="L28" s="8" t="n">
        <f aca="false">SUMIFS('RAID Log'!$H$2:$H$24,'RAID Log'!$D$2:$D$24,A28,'RAID Log'!$G$2:$G$24,"High",'RAID Log'!$I$2:$I$24,"Open")</f>
        <v>0</v>
      </c>
      <c r="M28" s="2" t="s">
        <v>78</v>
      </c>
      <c r="N28" s="2" t="s">
        <v>79</v>
      </c>
      <c r="O28" s="2" t="s">
        <v>80</v>
      </c>
    </row>
    <row r="29" customFormat="false" ht="23.85" hidden="false" customHeight="false" outlineLevel="0" collapsed="false">
      <c r="A29" s="2" t="s">
        <v>23</v>
      </c>
      <c r="B29" s="2" t="s">
        <v>29</v>
      </c>
      <c r="C29" s="2" t="s">
        <v>77</v>
      </c>
      <c r="D29" s="3" t="n">
        <v>46280</v>
      </c>
      <c r="E29" s="4" t="n">
        <v>45</v>
      </c>
      <c r="F29" s="7" t="s">
        <v>53</v>
      </c>
      <c r="G29" s="8" t="n">
        <v>3500000</v>
      </c>
      <c r="H29" s="8" t="n">
        <v>2600000</v>
      </c>
      <c r="I29" s="8" t="n">
        <f aca="false">G29*E29/100</f>
        <v>1575000</v>
      </c>
      <c r="J29" s="9" t="n">
        <f aca="false">(H29-I29)/I29</f>
        <v>0.650793650793651</v>
      </c>
      <c r="K29" s="2" t="n">
        <f aca="false">COUNTIFS('RAID Log'!$D$2:$D$24,A29,'RAID Log'!$B$2:$B$24,"Risk",'RAID Log'!$G$2:$G$24,"High",'RAID Log'!$I$2:$I$24,"Open")</f>
        <v>0</v>
      </c>
      <c r="L29" s="8" t="n">
        <f aca="false">SUMIFS('RAID Log'!$H$2:$H$24,'RAID Log'!$D$2:$D$24,A29,'RAID Log'!$G$2:$G$24,"High",'RAID Log'!$I$2:$I$24,"Open")</f>
        <v>0</v>
      </c>
      <c r="M29" s="2" t="s">
        <v>78</v>
      </c>
      <c r="N29" s="2" t="s">
        <v>79</v>
      </c>
      <c r="O29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6"/>
  </cols>
  <sheetData>
    <row r="1" customFormat="false" ht="26.85" hidden="false" customHeight="false" outlineLevel="0" collapsed="false">
      <c r="A1" s="1" t="s">
        <v>81</v>
      </c>
      <c r="B1" s="1" t="s">
        <v>82</v>
      </c>
      <c r="C1" s="1" t="s">
        <v>83</v>
      </c>
      <c r="D1" s="1" t="s">
        <v>2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</row>
    <row r="2" customFormat="false" ht="15" hidden="false" customHeight="false" outlineLevel="0" collapsed="false">
      <c r="A2" s="2" t="s">
        <v>91</v>
      </c>
      <c r="B2" s="2" t="s">
        <v>92</v>
      </c>
      <c r="C2" s="2" t="s">
        <v>93</v>
      </c>
      <c r="D2" s="2" t="s">
        <v>8</v>
      </c>
      <c r="E2" s="2" t="s">
        <v>94</v>
      </c>
      <c r="F2" s="2" t="s">
        <v>11</v>
      </c>
      <c r="G2" s="2" t="s">
        <v>95</v>
      </c>
      <c r="H2" s="8" t="n">
        <v>450000</v>
      </c>
      <c r="I2" s="2" t="s">
        <v>96</v>
      </c>
      <c r="J2" s="2" t="s">
        <v>97</v>
      </c>
      <c r="K2" s="2" t="s">
        <v>98</v>
      </c>
    </row>
    <row r="3" customFormat="false" ht="15" hidden="false" customHeight="false" outlineLevel="0" collapsed="false">
      <c r="A3" s="2" t="s">
        <v>99</v>
      </c>
      <c r="B3" s="2" t="s">
        <v>100</v>
      </c>
      <c r="C3" s="2" t="s">
        <v>101</v>
      </c>
      <c r="D3" s="2" t="s">
        <v>8</v>
      </c>
      <c r="E3" s="2" t="s">
        <v>102</v>
      </c>
      <c r="F3" s="2" t="s">
        <v>6</v>
      </c>
      <c r="G3" s="2" t="s">
        <v>103</v>
      </c>
      <c r="H3" s="8" t="n">
        <v>80000</v>
      </c>
      <c r="I3" s="2" t="s">
        <v>104</v>
      </c>
      <c r="J3" s="2" t="s">
        <v>105</v>
      </c>
      <c r="K3" s="2" t="s">
        <v>106</v>
      </c>
    </row>
    <row r="4" customFormat="false" ht="23.85" hidden="false" customHeight="false" outlineLevel="0" collapsed="false">
      <c r="A4" s="2" t="s">
        <v>107</v>
      </c>
      <c r="B4" s="2" t="s">
        <v>92</v>
      </c>
      <c r="C4" s="2" t="s">
        <v>108</v>
      </c>
      <c r="D4" s="2" t="s">
        <v>8</v>
      </c>
      <c r="E4" s="2" t="s">
        <v>109</v>
      </c>
      <c r="F4" s="2" t="s">
        <v>21</v>
      </c>
      <c r="G4" s="2" t="s">
        <v>103</v>
      </c>
      <c r="H4" s="8" t="n">
        <v>0</v>
      </c>
      <c r="I4" s="2" t="s">
        <v>96</v>
      </c>
      <c r="J4" s="2" t="s">
        <v>110</v>
      </c>
      <c r="K4" s="2" t="s">
        <v>61</v>
      </c>
    </row>
    <row r="5" customFormat="false" ht="23.85" hidden="false" customHeight="false" outlineLevel="0" collapsed="false">
      <c r="A5" s="2" t="s">
        <v>111</v>
      </c>
      <c r="B5" s="2" t="s">
        <v>112</v>
      </c>
      <c r="C5" s="2" t="s">
        <v>113</v>
      </c>
      <c r="D5" s="2" t="s">
        <v>10</v>
      </c>
      <c r="E5" s="2" t="s">
        <v>114</v>
      </c>
      <c r="F5" s="2" t="s">
        <v>27</v>
      </c>
      <c r="G5" s="2" t="s">
        <v>115</v>
      </c>
      <c r="H5" s="8" t="n">
        <v>0</v>
      </c>
      <c r="I5" s="2" t="s">
        <v>96</v>
      </c>
      <c r="J5" s="2" t="s">
        <v>116</v>
      </c>
      <c r="K5" s="2" t="s">
        <v>61</v>
      </c>
    </row>
    <row r="6" customFormat="false" ht="23.85" hidden="false" customHeight="false" outlineLevel="0" collapsed="false">
      <c r="A6" s="2" t="s">
        <v>117</v>
      </c>
      <c r="B6" s="2" t="s">
        <v>118</v>
      </c>
      <c r="C6" s="2" t="s">
        <v>101</v>
      </c>
      <c r="D6" s="2" t="s">
        <v>10</v>
      </c>
      <c r="E6" s="2" t="s">
        <v>119</v>
      </c>
      <c r="F6" s="2" t="s">
        <v>18</v>
      </c>
      <c r="G6" s="2" t="s">
        <v>103</v>
      </c>
      <c r="H6" s="8" t="n">
        <v>0</v>
      </c>
      <c r="I6" s="2" t="s">
        <v>96</v>
      </c>
      <c r="J6" s="2" t="s">
        <v>120</v>
      </c>
      <c r="K6" s="2" t="s">
        <v>61</v>
      </c>
    </row>
    <row r="7" customFormat="false" ht="15" hidden="false" customHeight="false" outlineLevel="0" collapsed="false">
      <c r="A7" s="2" t="s">
        <v>121</v>
      </c>
      <c r="B7" s="2" t="s">
        <v>100</v>
      </c>
      <c r="C7" s="2" t="s">
        <v>122</v>
      </c>
      <c r="D7" s="2" t="s">
        <v>10</v>
      </c>
      <c r="E7" s="2" t="s">
        <v>123</v>
      </c>
      <c r="F7" s="2" t="s">
        <v>18</v>
      </c>
      <c r="G7" s="2" t="s">
        <v>115</v>
      </c>
      <c r="H7" s="8" t="n">
        <v>0</v>
      </c>
      <c r="I7" s="2" t="s">
        <v>124</v>
      </c>
      <c r="J7" s="2" t="s">
        <v>125</v>
      </c>
      <c r="K7" s="2" t="s">
        <v>126</v>
      </c>
    </row>
    <row r="8" customFormat="false" ht="15" hidden="false" customHeight="false" outlineLevel="0" collapsed="false">
      <c r="A8" s="2" t="s">
        <v>127</v>
      </c>
      <c r="B8" s="2" t="s">
        <v>92</v>
      </c>
      <c r="C8" s="2" t="s">
        <v>122</v>
      </c>
      <c r="D8" s="2" t="s">
        <v>13</v>
      </c>
      <c r="E8" s="2" t="s">
        <v>128</v>
      </c>
      <c r="F8" s="2" t="s">
        <v>21</v>
      </c>
      <c r="G8" s="2" t="s">
        <v>95</v>
      </c>
      <c r="H8" s="8" t="n">
        <v>600000</v>
      </c>
      <c r="I8" s="2" t="s">
        <v>96</v>
      </c>
      <c r="J8" s="2" t="s">
        <v>129</v>
      </c>
      <c r="K8" s="2" t="s">
        <v>65</v>
      </c>
    </row>
    <row r="9" customFormat="false" ht="15" hidden="false" customHeight="false" outlineLevel="0" collapsed="false">
      <c r="A9" s="2" t="s">
        <v>130</v>
      </c>
      <c r="B9" s="2" t="s">
        <v>92</v>
      </c>
      <c r="C9" s="2" t="s">
        <v>108</v>
      </c>
      <c r="D9" s="2" t="s">
        <v>13</v>
      </c>
      <c r="E9" s="2" t="s">
        <v>131</v>
      </c>
      <c r="F9" s="2" t="s">
        <v>16</v>
      </c>
      <c r="G9" s="2" t="s">
        <v>103</v>
      </c>
      <c r="H9" s="8" t="n">
        <v>150000</v>
      </c>
      <c r="I9" s="2" t="s">
        <v>96</v>
      </c>
      <c r="J9" s="2" t="s">
        <v>132</v>
      </c>
      <c r="K9" s="2" t="s">
        <v>73</v>
      </c>
    </row>
    <row r="10" customFormat="false" ht="15" hidden="false" customHeight="false" outlineLevel="0" collapsed="false">
      <c r="A10" s="2" t="s">
        <v>133</v>
      </c>
      <c r="B10" s="2" t="s">
        <v>100</v>
      </c>
      <c r="C10" s="2" t="s">
        <v>113</v>
      </c>
      <c r="D10" s="2" t="s">
        <v>13</v>
      </c>
      <c r="E10" s="2" t="s">
        <v>134</v>
      </c>
      <c r="F10" s="2" t="s">
        <v>25</v>
      </c>
      <c r="G10" s="2" t="s">
        <v>103</v>
      </c>
      <c r="H10" s="8" t="n">
        <v>100000</v>
      </c>
      <c r="I10" s="2" t="s">
        <v>96</v>
      </c>
      <c r="J10" s="2" t="s">
        <v>135</v>
      </c>
      <c r="K10" s="2" t="s">
        <v>136</v>
      </c>
    </row>
    <row r="11" customFormat="false" ht="23.85" hidden="false" customHeight="false" outlineLevel="0" collapsed="false">
      <c r="A11" s="2" t="s">
        <v>137</v>
      </c>
      <c r="B11" s="2" t="s">
        <v>92</v>
      </c>
      <c r="C11" s="2" t="s">
        <v>138</v>
      </c>
      <c r="D11" s="2" t="s">
        <v>13</v>
      </c>
      <c r="E11" s="2" t="s">
        <v>139</v>
      </c>
      <c r="F11" s="2" t="s">
        <v>21</v>
      </c>
      <c r="G11" s="2" t="s">
        <v>95</v>
      </c>
      <c r="H11" s="8" t="n">
        <v>700000</v>
      </c>
      <c r="I11" s="2" t="s">
        <v>96</v>
      </c>
      <c r="J11" s="2" t="s">
        <v>140</v>
      </c>
      <c r="K11" s="2" t="s">
        <v>141</v>
      </c>
    </row>
    <row r="12" customFormat="false" ht="23.85" hidden="false" customHeight="false" outlineLevel="0" collapsed="false">
      <c r="A12" s="2" t="s">
        <v>142</v>
      </c>
      <c r="B12" s="2" t="s">
        <v>92</v>
      </c>
      <c r="C12" s="2" t="s">
        <v>143</v>
      </c>
      <c r="D12" s="2" t="s">
        <v>14</v>
      </c>
      <c r="E12" s="2" t="s">
        <v>144</v>
      </c>
      <c r="F12" s="2" t="s">
        <v>24</v>
      </c>
      <c r="G12" s="2" t="s">
        <v>95</v>
      </c>
      <c r="H12" s="8" t="n">
        <v>350000</v>
      </c>
      <c r="I12" s="2" t="s">
        <v>96</v>
      </c>
      <c r="J12" s="2" t="s">
        <v>125</v>
      </c>
      <c r="K12" s="2" t="s">
        <v>70</v>
      </c>
    </row>
    <row r="13" customFormat="false" ht="23.85" hidden="false" customHeight="false" outlineLevel="0" collapsed="false">
      <c r="A13" s="2" t="s">
        <v>145</v>
      </c>
      <c r="B13" s="2" t="s">
        <v>112</v>
      </c>
      <c r="C13" s="2" t="s">
        <v>143</v>
      </c>
      <c r="D13" s="2" t="s">
        <v>14</v>
      </c>
      <c r="E13" s="2" t="s">
        <v>146</v>
      </c>
      <c r="F13" s="2" t="s">
        <v>21</v>
      </c>
      <c r="G13" s="2" t="s">
        <v>115</v>
      </c>
      <c r="H13" s="8" t="n">
        <v>0</v>
      </c>
      <c r="I13" s="2" t="s">
        <v>96</v>
      </c>
      <c r="J13" s="2" t="s">
        <v>125</v>
      </c>
      <c r="K13" s="2" t="s">
        <v>70</v>
      </c>
    </row>
    <row r="14" customFormat="false" ht="23.85" hidden="false" customHeight="false" outlineLevel="0" collapsed="false">
      <c r="A14" s="2" t="s">
        <v>147</v>
      </c>
      <c r="B14" s="2" t="s">
        <v>100</v>
      </c>
      <c r="C14" s="2" t="s">
        <v>108</v>
      </c>
      <c r="D14" s="2" t="s">
        <v>14</v>
      </c>
      <c r="E14" s="2" t="s">
        <v>148</v>
      </c>
      <c r="F14" s="2" t="s">
        <v>21</v>
      </c>
      <c r="G14" s="2" t="s">
        <v>103</v>
      </c>
      <c r="H14" s="8" t="n">
        <v>0</v>
      </c>
      <c r="I14" s="2" t="s">
        <v>96</v>
      </c>
      <c r="J14" s="2" t="s">
        <v>110</v>
      </c>
      <c r="K14" s="2" t="s">
        <v>149</v>
      </c>
    </row>
    <row r="15" customFormat="false" ht="23.85" hidden="false" customHeight="false" outlineLevel="0" collapsed="false">
      <c r="A15" s="2" t="s">
        <v>150</v>
      </c>
      <c r="B15" s="2" t="s">
        <v>118</v>
      </c>
      <c r="C15" s="2" t="s">
        <v>101</v>
      </c>
      <c r="D15" s="2" t="s">
        <v>26</v>
      </c>
      <c r="E15" s="2" t="s">
        <v>151</v>
      </c>
      <c r="F15" s="2" t="s">
        <v>27</v>
      </c>
      <c r="G15" s="2" t="s">
        <v>103</v>
      </c>
      <c r="H15" s="8" t="n">
        <v>0</v>
      </c>
      <c r="I15" s="2" t="s">
        <v>104</v>
      </c>
      <c r="J15" s="2" t="s">
        <v>152</v>
      </c>
      <c r="K15" s="2" t="s">
        <v>153</v>
      </c>
    </row>
    <row r="16" customFormat="false" ht="15" hidden="false" customHeight="false" outlineLevel="0" collapsed="false">
      <c r="A16" s="2" t="s">
        <v>154</v>
      </c>
      <c r="B16" s="2" t="s">
        <v>112</v>
      </c>
      <c r="C16" s="2" t="s">
        <v>122</v>
      </c>
      <c r="D16" s="2" t="s">
        <v>26</v>
      </c>
      <c r="E16" s="2" t="s">
        <v>155</v>
      </c>
      <c r="F16" s="2" t="s">
        <v>25</v>
      </c>
      <c r="G16" s="2" t="s">
        <v>115</v>
      </c>
      <c r="H16" s="8" t="n">
        <v>0</v>
      </c>
      <c r="I16" s="2" t="s">
        <v>96</v>
      </c>
      <c r="J16" s="2" t="s">
        <v>135</v>
      </c>
      <c r="K16" s="2" t="s">
        <v>73</v>
      </c>
    </row>
    <row r="17" customFormat="false" ht="15" hidden="false" customHeight="false" outlineLevel="0" collapsed="false">
      <c r="A17" s="2" t="s">
        <v>156</v>
      </c>
      <c r="B17" s="2" t="s">
        <v>92</v>
      </c>
      <c r="C17" s="2" t="s">
        <v>93</v>
      </c>
      <c r="D17" s="2" t="s">
        <v>20</v>
      </c>
      <c r="E17" s="2" t="s">
        <v>74</v>
      </c>
      <c r="F17" s="2" t="s">
        <v>28</v>
      </c>
      <c r="G17" s="2" t="s">
        <v>95</v>
      </c>
      <c r="H17" s="8" t="n">
        <v>500000</v>
      </c>
      <c r="I17" s="2" t="s">
        <v>96</v>
      </c>
      <c r="J17" s="2" t="s">
        <v>157</v>
      </c>
      <c r="K17" s="2" t="s">
        <v>136</v>
      </c>
    </row>
    <row r="18" customFormat="false" ht="23.85" hidden="false" customHeight="false" outlineLevel="0" collapsed="false">
      <c r="A18" s="2" t="s">
        <v>158</v>
      </c>
      <c r="B18" s="2" t="s">
        <v>100</v>
      </c>
      <c r="C18" s="2" t="s">
        <v>101</v>
      </c>
      <c r="D18" s="2" t="s">
        <v>20</v>
      </c>
      <c r="E18" s="2" t="s">
        <v>159</v>
      </c>
      <c r="F18" s="2" t="s">
        <v>30</v>
      </c>
      <c r="G18" s="2" t="s">
        <v>103</v>
      </c>
      <c r="H18" s="8" t="n">
        <v>120000</v>
      </c>
      <c r="I18" s="2" t="s">
        <v>96</v>
      </c>
      <c r="J18" s="2" t="s">
        <v>106</v>
      </c>
      <c r="K18" s="2" t="s">
        <v>98</v>
      </c>
    </row>
    <row r="19" customFormat="false" ht="23.85" hidden="false" customHeight="false" outlineLevel="0" collapsed="false">
      <c r="A19" s="2" t="s">
        <v>160</v>
      </c>
      <c r="B19" s="2" t="s">
        <v>118</v>
      </c>
      <c r="C19" s="2" t="s">
        <v>143</v>
      </c>
      <c r="D19" s="2" t="s">
        <v>20</v>
      </c>
      <c r="E19" s="2" t="s">
        <v>161</v>
      </c>
      <c r="F19" s="2" t="s">
        <v>28</v>
      </c>
      <c r="G19" s="2" t="s">
        <v>103</v>
      </c>
      <c r="H19" s="8" t="n">
        <v>0</v>
      </c>
      <c r="I19" s="2" t="s">
        <v>96</v>
      </c>
      <c r="J19" s="2" t="s">
        <v>97</v>
      </c>
      <c r="K19" s="2" t="s">
        <v>65</v>
      </c>
    </row>
    <row r="20" customFormat="false" ht="23.85" hidden="false" customHeight="false" outlineLevel="0" collapsed="false">
      <c r="A20" s="2" t="s">
        <v>162</v>
      </c>
      <c r="B20" s="2" t="s">
        <v>112</v>
      </c>
      <c r="C20" s="2" t="s">
        <v>113</v>
      </c>
      <c r="D20" s="2" t="s">
        <v>20</v>
      </c>
      <c r="E20" s="2" t="s">
        <v>163</v>
      </c>
      <c r="F20" s="2" t="s">
        <v>30</v>
      </c>
      <c r="G20" s="2" t="s">
        <v>115</v>
      </c>
      <c r="H20" s="8" t="n">
        <v>0</v>
      </c>
      <c r="I20" s="2" t="s">
        <v>96</v>
      </c>
      <c r="J20" s="2" t="s">
        <v>97</v>
      </c>
      <c r="K20" s="2" t="s">
        <v>73</v>
      </c>
    </row>
    <row r="21" customFormat="false" ht="23.85" hidden="false" customHeight="false" outlineLevel="0" collapsed="false">
      <c r="A21" s="2" t="s">
        <v>164</v>
      </c>
      <c r="B21" s="2" t="s">
        <v>92</v>
      </c>
      <c r="C21" s="2" t="s">
        <v>122</v>
      </c>
      <c r="D21" s="2" t="s">
        <v>23</v>
      </c>
      <c r="E21" s="2" t="s">
        <v>165</v>
      </c>
      <c r="F21" s="2" t="s">
        <v>29</v>
      </c>
      <c r="G21" s="2" t="s">
        <v>95</v>
      </c>
      <c r="H21" s="8" t="n">
        <v>250000</v>
      </c>
      <c r="I21" s="2" t="s">
        <v>104</v>
      </c>
      <c r="J21" s="2" t="s">
        <v>166</v>
      </c>
      <c r="K21" s="2" t="s">
        <v>135</v>
      </c>
    </row>
    <row r="22" customFormat="false" ht="23.85" hidden="false" customHeight="false" outlineLevel="0" collapsed="false">
      <c r="A22" s="2" t="s">
        <v>167</v>
      </c>
      <c r="B22" s="2" t="s">
        <v>100</v>
      </c>
      <c r="C22" s="2" t="s">
        <v>108</v>
      </c>
      <c r="D22" s="2" t="s">
        <v>23</v>
      </c>
      <c r="E22" s="2" t="s">
        <v>168</v>
      </c>
      <c r="F22" s="2" t="s">
        <v>31</v>
      </c>
      <c r="G22" s="2" t="s">
        <v>103</v>
      </c>
      <c r="H22" s="8" t="n">
        <v>60000</v>
      </c>
      <c r="I22" s="2" t="s">
        <v>124</v>
      </c>
      <c r="J22" s="2" t="s">
        <v>169</v>
      </c>
      <c r="K22" s="2" t="s">
        <v>97</v>
      </c>
    </row>
    <row r="23" customFormat="false" ht="23.85" hidden="false" customHeight="false" outlineLevel="0" collapsed="false">
      <c r="A23" s="2" t="s">
        <v>170</v>
      </c>
      <c r="B23" s="2" t="s">
        <v>118</v>
      </c>
      <c r="C23" s="2" t="s">
        <v>101</v>
      </c>
      <c r="D23" s="2" t="s">
        <v>23</v>
      </c>
      <c r="E23" s="2" t="s">
        <v>171</v>
      </c>
      <c r="F23" s="2" t="s">
        <v>29</v>
      </c>
      <c r="G23" s="2" t="s">
        <v>103</v>
      </c>
      <c r="H23" s="8" t="n">
        <v>0</v>
      </c>
      <c r="I23" s="2" t="s">
        <v>96</v>
      </c>
      <c r="J23" s="2" t="s">
        <v>97</v>
      </c>
      <c r="K23" s="2" t="s">
        <v>153</v>
      </c>
    </row>
    <row r="24" customFormat="false" ht="23.85" hidden="false" customHeight="false" outlineLevel="0" collapsed="false">
      <c r="A24" s="2" t="s">
        <v>172</v>
      </c>
      <c r="B24" s="2" t="s">
        <v>92</v>
      </c>
      <c r="C24" s="2" t="s">
        <v>138</v>
      </c>
      <c r="D24" s="2" t="s">
        <v>23</v>
      </c>
      <c r="E24" s="2" t="s">
        <v>173</v>
      </c>
      <c r="F24" s="2" t="s">
        <v>29</v>
      </c>
      <c r="G24" s="2" t="s">
        <v>103</v>
      </c>
      <c r="H24" s="8" t="n">
        <v>180000</v>
      </c>
      <c r="I24" s="2" t="s">
        <v>96</v>
      </c>
      <c r="J24" s="2" t="s">
        <v>174</v>
      </c>
      <c r="K24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2026-09-15T10:34:39Z</dcterms:created>
  <dc:creator>openpyxl</dc:creator>
  <dc:description/>
  <dc:language>en-US</dc:language>
  <cp:lastModifiedBy/>
  <dcterms:modified xsi:type="dcterms:W3CDTF">2026-09-15T10:34:39Z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